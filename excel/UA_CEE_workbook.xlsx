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dmytro/Desktop/obsidian_data/Dmytro/Докторська/статті/8 (3.2) - Post-Communist Economies/репозиторій_GitHub/ukraine_cee_digital_maturity/excel/"/>
    </mc:Choice>
  </mc:AlternateContent>
  <xr:revisionPtr revIDLastSave="0" documentId="13_ncr:1_{20DCD147-21C1-1643-8DC8-23620A92C5C9}" xr6:coauthVersionLast="47" xr6:coauthVersionMax="47" xr10:uidLastSave="{00000000-0000-0000-0000-000000000000}"/>
  <bookViews>
    <workbookView xWindow="0" yWindow="660" windowWidth="34560" windowHeight="19880" xr2:uid="{00000000-000D-0000-FFFF-FFFF00000000}"/>
  </bookViews>
  <sheets>
    <sheet name="README" sheetId="1" r:id="rId1"/>
    <sheet name="Parameters" sheetId="2" r:id="rId2"/>
    <sheet name="Farm_EU_data" sheetId="3" r:id="rId3"/>
    <sheet name="Farm_UA_data" sheetId="4" r:id="rId4"/>
    <sheet name="Farm_results" sheetId="5" r:id="rId5"/>
    <sheet name="Processing_data" sheetId="6" r:id="rId6"/>
    <sheet name="Processing_index" sheetId="7" r:id="rId7"/>
    <sheet name="TOPSIS" sheetId="8" r:id="rId8"/>
    <sheet name="Orientations" sheetId="9" r:id="rId9"/>
    <sheet name="Normalisation_check" sheetId="10" r:id="rId10"/>
    <sheet name="Sensitivity" sheetId="11" r:id="rId11"/>
    <sheet name="Transition_checks" sheetId="12" r:id="rId12"/>
    <sheet name="Paper_tables" sheetId="13" r:id="rId13"/>
    <sheet name="Paper_tables_UA" sheetId="14" r:id="rId14"/>
    <sheet name="Figure_1" sheetId="15" r:id="rId15"/>
    <sheet name="Figure_2" sheetId="16" r:id="rId16"/>
  </sheets>
  <definedNames>
    <definedName name="alpha">Parameters!$B$3</definedName>
    <definedName name="bounds">Parameters!$B$10:$B$13</definedName>
    <definedName name="delta">Parameters!$B$4</definedName>
    <definedName name="max_year_gap">Parameters!$B$5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6" l="1"/>
  <c r="D6" i="16"/>
  <c r="C6" i="16"/>
  <c r="B6" i="16"/>
  <c r="B5" i="16"/>
  <c r="A16" i="15"/>
  <c r="A15" i="15"/>
  <c r="A14" i="15"/>
  <c r="A13" i="15"/>
  <c r="A12" i="15"/>
  <c r="A11" i="15"/>
  <c r="A10" i="15"/>
  <c r="A9" i="15"/>
  <c r="A8" i="15"/>
  <c r="A7" i="15"/>
  <c r="D6" i="15"/>
  <c r="C6" i="15"/>
  <c r="B6" i="15"/>
  <c r="B5" i="15"/>
  <c r="H35" i="14"/>
  <c r="E35" i="14"/>
  <c r="D35" i="14"/>
  <c r="C35" i="14"/>
  <c r="H34" i="14"/>
  <c r="E34" i="14"/>
  <c r="D34" i="14"/>
  <c r="C34" i="14"/>
  <c r="H33" i="14"/>
  <c r="E33" i="14"/>
  <c r="D33" i="14"/>
  <c r="C33" i="14"/>
  <c r="H32" i="14"/>
  <c r="E32" i="14"/>
  <c r="D32" i="14"/>
  <c r="C32" i="14"/>
  <c r="H31" i="14"/>
  <c r="E31" i="14"/>
  <c r="D31" i="14"/>
  <c r="C31" i="14"/>
  <c r="H30" i="14"/>
  <c r="E30" i="14"/>
  <c r="D30" i="14"/>
  <c r="C30" i="14"/>
  <c r="H29" i="14"/>
  <c r="E29" i="14"/>
  <c r="D29" i="14"/>
  <c r="C29" i="14"/>
  <c r="H28" i="14"/>
  <c r="E28" i="14"/>
  <c r="D28" i="14"/>
  <c r="C28" i="14"/>
  <c r="H27" i="14"/>
  <c r="E27" i="14"/>
  <c r="D27" i="14"/>
  <c r="C27" i="14"/>
  <c r="H26" i="14"/>
  <c r="E26" i="14"/>
  <c r="D26" i="14"/>
  <c r="C26" i="14"/>
  <c r="H25" i="14"/>
  <c r="E25" i="14"/>
  <c r="D25" i="14"/>
  <c r="C25" i="14"/>
  <c r="H24" i="14"/>
  <c r="E24" i="14"/>
  <c r="D24" i="14"/>
  <c r="C24" i="14"/>
  <c r="H23" i="14"/>
  <c r="E23" i="14"/>
  <c r="D23" i="14"/>
  <c r="C23" i="14"/>
  <c r="H22" i="14"/>
  <c r="E22" i="14"/>
  <c r="D22" i="14"/>
  <c r="C22" i="14"/>
  <c r="H21" i="14"/>
  <c r="E21" i="14"/>
  <c r="D21" i="14"/>
  <c r="C21" i="14"/>
  <c r="H20" i="14"/>
  <c r="E20" i="14"/>
  <c r="D20" i="14"/>
  <c r="C20" i="14"/>
  <c r="H19" i="14"/>
  <c r="E19" i="14"/>
  <c r="D19" i="14"/>
  <c r="C19" i="14"/>
  <c r="E120" i="13"/>
  <c r="H35" i="13"/>
  <c r="E35" i="13"/>
  <c r="D35" i="13"/>
  <c r="C35" i="13"/>
  <c r="H34" i="13"/>
  <c r="E34" i="13"/>
  <c r="D34" i="13"/>
  <c r="C34" i="13"/>
  <c r="H33" i="13"/>
  <c r="E33" i="13"/>
  <c r="D33" i="13"/>
  <c r="C33" i="13"/>
  <c r="H32" i="13"/>
  <c r="E32" i="13"/>
  <c r="D32" i="13"/>
  <c r="C32" i="13"/>
  <c r="H31" i="13"/>
  <c r="E31" i="13"/>
  <c r="D31" i="13"/>
  <c r="C31" i="13"/>
  <c r="H30" i="13"/>
  <c r="E30" i="13"/>
  <c r="D30" i="13"/>
  <c r="C30" i="13"/>
  <c r="H29" i="13"/>
  <c r="E29" i="13"/>
  <c r="D29" i="13"/>
  <c r="C29" i="13"/>
  <c r="H28" i="13"/>
  <c r="E28" i="13"/>
  <c r="D28" i="13"/>
  <c r="C28" i="13"/>
  <c r="H27" i="13"/>
  <c r="E27" i="13"/>
  <c r="D27" i="13"/>
  <c r="C27" i="13"/>
  <c r="H26" i="13"/>
  <c r="E26" i="13"/>
  <c r="D26" i="13"/>
  <c r="C26" i="13"/>
  <c r="H25" i="13"/>
  <c r="E25" i="13"/>
  <c r="D25" i="13"/>
  <c r="C25" i="13"/>
  <c r="H24" i="13"/>
  <c r="E24" i="13"/>
  <c r="D24" i="13"/>
  <c r="C24" i="13"/>
  <c r="H23" i="13"/>
  <c r="E23" i="13"/>
  <c r="D23" i="13"/>
  <c r="C23" i="13"/>
  <c r="H22" i="13"/>
  <c r="E22" i="13"/>
  <c r="D22" i="13"/>
  <c r="C22" i="13"/>
  <c r="H21" i="13"/>
  <c r="E21" i="13"/>
  <c r="D21" i="13"/>
  <c r="C21" i="13"/>
  <c r="H20" i="13"/>
  <c r="E20" i="13"/>
  <c r="D20" i="13"/>
  <c r="C20" i="13"/>
  <c r="H19" i="13"/>
  <c r="E19" i="13"/>
  <c r="D19" i="13"/>
  <c r="C19" i="13"/>
  <c r="J14" i="12"/>
  <c r="I14" i="12"/>
  <c r="K14" i="12" s="1"/>
  <c r="H14" i="12"/>
  <c r="G14" i="12"/>
  <c r="F14" i="12"/>
  <c r="E14" i="12"/>
  <c r="J13" i="12"/>
  <c r="I13" i="12"/>
  <c r="H13" i="12"/>
  <c r="G13" i="12"/>
  <c r="F13" i="12"/>
  <c r="E13" i="12"/>
  <c r="J12" i="12"/>
  <c r="I12" i="12"/>
  <c r="H12" i="12"/>
  <c r="G12" i="12"/>
  <c r="F12" i="12"/>
  <c r="E12" i="12"/>
  <c r="J11" i="12"/>
  <c r="I11" i="12"/>
  <c r="H11" i="12"/>
  <c r="G11" i="12"/>
  <c r="F11" i="12"/>
  <c r="E11" i="12"/>
  <c r="K11" i="12" s="1"/>
  <c r="E120" i="14" s="1"/>
  <c r="J10" i="12"/>
  <c r="I10" i="12"/>
  <c r="H10" i="12"/>
  <c r="G10" i="12"/>
  <c r="F10" i="12"/>
  <c r="E10" i="12"/>
  <c r="J9" i="12"/>
  <c r="K9" i="12" s="1"/>
  <c r="I9" i="12"/>
  <c r="H9" i="12"/>
  <c r="G9" i="12"/>
  <c r="F9" i="12"/>
  <c r="E9" i="12"/>
  <c r="J8" i="12"/>
  <c r="I8" i="12"/>
  <c r="H8" i="12"/>
  <c r="G8" i="12"/>
  <c r="F8" i="12"/>
  <c r="E8" i="12"/>
  <c r="J7" i="12"/>
  <c r="I7" i="12"/>
  <c r="H7" i="12"/>
  <c r="G7" i="12"/>
  <c r="F7" i="12"/>
  <c r="E7" i="12"/>
  <c r="K6" i="12"/>
  <c r="J6" i="12"/>
  <c r="I6" i="12"/>
  <c r="H6" i="12"/>
  <c r="G6" i="12"/>
  <c r="F6" i="12"/>
  <c r="E6" i="12"/>
  <c r="J5" i="12"/>
  <c r="I5" i="12"/>
  <c r="H5" i="12"/>
  <c r="K5" i="12" s="1"/>
  <c r="G5" i="12"/>
  <c r="F5" i="12"/>
  <c r="E5" i="12"/>
  <c r="J4" i="12"/>
  <c r="I4" i="12"/>
  <c r="H4" i="12"/>
  <c r="G4" i="12"/>
  <c r="F4" i="12"/>
  <c r="E4" i="12"/>
  <c r="N354" i="11"/>
  <c r="M354" i="11"/>
  <c r="L354" i="11"/>
  <c r="K354" i="11"/>
  <c r="C354" i="11"/>
  <c r="N353" i="11"/>
  <c r="M353" i="11"/>
  <c r="L353" i="11"/>
  <c r="K353" i="11"/>
  <c r="J353" i="11"/>
  <c r="J354" i="11" s="1"/>
  <c r="I353" i="11"/>
  <c r="I354" i="11" s="1"/>
  <c r="H353" i="11"/>
  <c r="H354" i="11" s="1"/>
  <c r="G353" i="11"/>
  <c r="G354" i="11" s="1"/>
  <c r="G366" i="11" s="1"/>
  <c r="F353" i="11"/>
  <c r="F354" i="11" s="1"/>
  <c r="E353" i="11"/>
  <c r="E354" i="11" s="1"/>
  <c r="D353" i="11"/>
  <c r="D354" i="11" s="1"/>
  <c r="C353" i="11"/>
  <c r="B353" i="11"/>
  <c r="B354" i="11" s="1"/>
  <c r="H11" i="10"/>
  <c r="F11" i="10"/>
  <c r="F9" i="10"/>
  <c r="I7" i="10"/>
  <c r="G7" i="10"/>
  <c r="H5" i="10"/>
  <c r="F5" i="10"/>
  <c r="I4" i="10"/>
  <c r="F19" i="8"/>
  <c r="E19" i="8"/>
  <c r="D19" i="8"/>
  <c r="C19" i="8"/>
  <c r="B19" i="8"/>
  <c r="P15" i="7"/>
  <c r="I15" i="7"/>
  <c r="F15" i="7"/>
  <c r="C128" i="11" s="1"/>
  <c r="P14" i="7"/>
  <c r="N14" i="7"/>
  <c r="M14" i="7"/>
  <c r="L14" i="7"/>
  <c r="I14" i="7"/>
  <c r="K13" i="7"/>
  <c r="I13" i="7"/>
  <c r="H13" i="7"/>
  <c r="D156" i="11" s="1"/>
  <c r="C13" i="7"/>
  <c r="R12" i="7"/>
  <c r="P12" i="7"/>
  <c r="O12" i="7"/>
  <c r="X12" i="7" s="1"/>
  <c r="K12" i="7"/>
  <c r="I12" i="7"/>
  <c r="C12" i="7"/>
  <c r="P11" i="7"/>
  <c r="N11" i="7"/>
  <c r="M11" i="7"/>
  <c r="F229" i="11" s="1"/>
  <c r="F11" i="7"/>
  <c r="C124" i="11" s="1"/>
  <c r="P10" i="7"/>
  <c r="K10" i="7"/>
  <c r="I10" i="7"/>
  <c r="H10" i="7"/>
  <c r="D153" i="11" s="1"/>
  <c r="F10" i="7"/>
  <c r="C123" i="11" s="1"/>
  <c r="C10" i="7"/>
  <c r="T9" i="7"/>
  <c r="R9" i="7"/>
  <c r="I9" i="7"/>
  <c r="H9" i="7"/>
  <c r="D152" i="11" s="1"/>
  <c r="F9" i="7"/>
  <c r="C122" i="11" s="1"/>
  <c r="E9" i="7"/>
  <c r="P8" i="7"/>
  <c r="N8" i="7"/>
  <c r="K8" i="7"/>
  <c r="I8" i="7"/>
  <c r="P7" i="7"/>
  <c r="N7" i="7"/>
  <c r="M7" i="7"/>
  <c r="F225" i="11" s="1"/>
  <c r="L7" i="7"/>
  <c r="K7" i="7"/>
  <c r="I7" i="7"/>
  <c r="G7" i="7"/>
  <c r="P6" i="7"/>
  <c r="M6" i="7"/>
  <c r="I6" i="7"/>
  <c r="H6" i="7"/>
  <c r="E6" i="7"/>
  <c r="T5" i="7"/>
  <c r="R5" i="7"/>
  <c r="P5" i="7"/>
  <c r="I5" i="7"/>
  <c r="H5" i="7"/>
  <c r="F5" i="7"/>
  <c r="E5" i="7"/>
  <c r="C5" i="7"/>
  <c r="R4" i="7"/>
  <c r="M4" i="7"/>
  <c r="K4" i="7"/>
  <c r="E373" i="11" s="1"/>
  <c r="J4" i="7"/>
  <c r="V4" i="7" s="1"/>
  <c r="I4" i="7"/>
  <c r="E4" i="7"/>
  <c r="AL20" i="6"/>
  <c r="AJ20" i="6"/>
  <c r="AL19" i="6"/>
  <c r="AJ19" i="6"/>
  <c r="Q11" i="7" s="1"/>
  <c r="AL18" i="6"/>
  <c r="AK18" i="6"/>
  <c r="AJ18" i="6"/>
  <c r="AL17" i="6"/>
  <c r="AJ17" i="6"/>
  <c r="AL16" i="6"/>
  <c r="AJ16" i="6"/>
  <c r="AL15" i="6"/>
  <c r="AJ15" i="6"/>
  <c r="AL14" i="6"/>
  <c r="L10" i="10" s="1"/>
  <c r="AJ14" i="6"/>
  <c r="L11" i="7" s="1"/>
  <c r="AL13" i="6"/>
  <c r="K9" i="10" s="1"/>
  <c r="AJ13" i="6"/>
  <c r="AL12" i="6"/>
  <c r="J5" i="10" s="1"/>
  <c r="AK12" i="6"/>
  <c r="AJ12" i="6"/>
  <c r="AL11" i="6"/>
  <c r="I15" i="10" s="1"/>
  <c r="AK11" i="6"/>
  <c r="AJ11" i="6"/>
  <c r="AL10" i="6"/>
  <c r="AK10" i="6"/>
  <c r="AJ10" i="6"/>
  <c r="H14" i="7" s="1"/>
  <c r="D157" i="11" s="1"/>
  <c r="AL9" i="6"/>
  <c r="AJ9" i="6"/>
  <c r="AL8" i="6"/>
  <c r="F12" i="10" s="1"/>
  <c r="AJ8" i="6"/>
  <c r="F14" i="10" s="1"/>
  <c r="AL7" i="6"/>
  <c r="AK7" i="6"/>
  <c r="AJ7" i="6"/>
  <c r="E10" i="7" s="1"/>
  <c r="AL6" i="6"/>
  <c r="AJ6" i="6"/>
  <c r="AL5" i="6"/>
  <c r="AK5" i="6"/>
  <c r="AJ5" i="6"/>
  <c r="AL4" i="6"/>
  <c r="AK4" i="6"/>
  <c r="AJ4" i="6"/>
  <c r="K49" i="5"/>
  <c r="H49" i="5"/>
  <c r="E49" i="5"/>
  <c r="G48" i="5"/>
  <c r="D48" i="5"/>
  <c r="B48" i="5"/>
  <c r="L48" i="5" s="1"/>
  <c r="H47" i="5"/>
  <c r="G47" i="5"/>
  <c r="H46" i="5"/>
  <c r="G46" i="5"/>
  <c r="D46" i="5"/>
  <c r="G45" i="5"/>
  <c r="E43" i="5"/>
  <c r="K41" i="5"/>
  <c r="H41" i="5"/>
  <c r="G41" i="5"/>
  <c r="H40" i="5"/>
  <c r="G40" i="5"/>
  <c r="G39" i="5"/>
  <c r="E39" i="5"/>
  <c r="G38" i="5"/>
  <c r="J31" i="5"/>
  <c r="G31" i="5"/>
  <c r="F31" i="5"/>
  <c r="J30" i="5"/>
  <c r="C30" i="5"/>
  <c r="B30" i="5"/>
  <c r="L30" i="5" s="1"/>
  <c r="J29" i="5"/>
  <c r="G29" i="5"/>
  <c r="C29" i="5"/>
  <c r="K28" i="5"/>
  <c r="J28" i="5"/>
  <c r="G28" i="5"/>
  <c r="F28" i="5"/>
  <c r="C28" i="5"/>
  <c r="J27" i="5"/>
  <c r="C27" i="5"/>
  <c r="B27" i="5"/>
  <c r="L27" i="5" s="1"/>
  <c r="G26" i="5"/>
  <c r="C26" i="5"/>
  <c r="G25" i="5"/>
  <c r="F25" i="5"/>
  <c r="C25" i="5"/>
  <c r="C24" i="5"/>
  <c r="J23" i="5"/>
  <c r="C23" i="5"/>
  <c r="K22" i="5"/>
  <c r="J22" i="5"/>
  <c r="C22" i="5"/>
  <c r="J21" i="5"/>
  <c r="C21" i="5"/>
  <c r="B21" i="5"/>
  <c r="L21" i="5" s="1"/>
  <c r="J20" i="5"/>
  <c r="P13" i="5"/>
  <c r="O13" i="5"/>
  <c r="N13" i="5"/>
  <c r="M13" i="5"/>
  <c r="L13" i="5"/>
  <c r="K13" i="5"/>
  <c r="J13" i="5"/>
  <c r="I13" i="5"/>
  <c r="H13" i="5"/>
  <c r="G13" i="5"/>
  <c r="F13" i="5"/>
  <c r="E13" i="5"/>
  <c r="D13" i="5"/>
  <c r="C13" i="5"/>
  <c r="B13" i="5"/>
  <c r="P12" i="5"/>
  <c r="N12" i="5"/>
  <c r="M12" i="5"/>
  <c r="L12" i="5"/>
  <c r="K12" i="5"/>
  <c r="J12" i="5"/>
  <c r="I12" i="5"/>
  <c r="H12" i="5"/>
  <c r="G12" i="5"/>
  <c r="F12" i="5"/>
  <c r="E12" i="5"/>
  <c r="D12" i="5"/>
  <c r="C12" i="5"/>
  <c r="B12" i="5"/>
  <c r="O12" i="5" s="1"/>
  <c r="N11" i="5"/>
  <c r="M11" i="5"/>
  <c r="L11" i="5"/>
  <c r="K11" i="5"/>
  <c r="J11" i="5"/>
  <c r="I11" i="5"/>
  <c r="H11" i="5"/>
  <c r="G11" i="5"/>
  <c r="F11" i="5"/>
  <c r="E11" i="5"/>
  <c r="D11" i="5"/>
  <c r="P11" i="5" s="1"/>
  <c r="C11" i="5"/>
  <c r="N10" i="5"/>
  <c r="M10" i="5"/>
  <c r="L10" i="5"/>
  <c r="K10" i="5"/>
  <c r="J10" i="5"/>
  <c r="I10" i="5"/>
  <c r="H10" i="5"/>
  <c r="G10" i="5"/>
  <c r="F10" i="5"/>
  <c r="E10" i="5"/>
  <c r="D10" i="5"/>
  <c r="P10" i="5" s="1"/>
  <c r="C10" i="5"/>
  <c r="N9" i="5"/>
  <c r="M9" i="5"/>
  <c r="L9" i="5"/>
  <c r="K9" i="5"/>
  <c r="J9" i="5"/>
  <c r="I9" i="5"/>
  <c r="H9" i="5"/>
  <c r="G9" i="5"/>
  <c r="F9" i="5"/>
  <c r="E9" i="5"/>
  <c r="D9" i="5"/>
  <c r="C9" i="5"/>
  <c r="N8" i="5"/>
  <c r="M8" i="5"/>
  <c r="L8" i="5"/>
  <c r="K8" i="5"/>
  <c r="J8" i="5"/>
  <c r="I8" i="5"/>
  <c r="H8" i="5"/>
  <c r="G8" i="5"/>
  <c r="F8" i="5"/>
  <c r="E8" i="5"/>
  <c r="D8" i="5"/>
  <c r="C8" i="5"/>
  <c r="B8" i="5"/>
  <c r="O8" i="5" s="1"/>
  <c r="N7" i="5"/>
  <c r="M7" i="5"/>
  <c r="L7" i="5"/>
  <c r="K7" i="5"/>
  <c r="J7" i="5"/>
  <c r="I7" i="5"/>
  <c r="H7" i="5"/>
  <c r="G7" i="5"/>
  <c r="F7" i="5"/>
  <c r="E7" i="5"/>
  <c r="D7" i="5"/>
  <c r="C7" i="5"/>
  <c r="N6" i="5"/>
  <c r="M6" i="5"/>
  <c r="L6" i="5"/>
  <c r="K6" i="5"/>
  <c r="J6" i="5"/>
  <c r="I6" i="5"/>
  <c r="H6" i="5"/>
  <c r="G6" i="5"/>
  <c r="F6" i="5"/>
  <c r="E6" i="5"/>
  <c r="D6" i="5"/>
  <c r="P6" i="5" s="1"/>
  <c r="C6" i="5"/>
  <c r="B6" i="5"/>
  <c r="O6" i="5" s="1"/>
  <c r="N5" i="5"/>
  <c r="M5" i="5"/>
  <c r="L5" i="5"/>
  <c r="K5" i="5"/>
  <c r="J5" i="5"/>
  <c r="I5" i="5"/>
  <c r="H5" i="5"/>
  <c r="G5" i="5"/>
  <c r="F5" i="5"/>
  <c r="E5" i="5"/>
  <c r="D5" i="5"/>
  <c r="C5" i="5"/>
  <c r="N4" i="5"/>
  <c r="M4" i="5"/>
  <c r="L4" i="5"/>
  <c r="K4" i="5"/>
  <c r="J4" i="5"/>
  <c r="I4" i="5"/>
  <c r="H4" i="5"/>
  <c r="G4" i="5"/>
  <c r="F4" i="5"/>
  <c r="E4" i="5"/>
  <c r="D4" i="5"/>
  <c r="C4" i="5"/>
  <c r="H13" i="4"/>
  <c r="D13" i="4"/>
  <c r="H12" i="4"/>
  <c r="D12" i="4"/>
  <c r="H11" i="4"/>
  <c r="D11" i="4"/>
  <c r="I31" i="5" s="1"/>
  <c r="H10" i="4"/>
  <c r="D10" i="4"/>
  <c r="H31" i="5" s="1"/>
  <c r="H9" i="4"/>
  <c r="P9" i="5" s="1"/>
  <c r="D9" i="4"/>
  <c r="B9" i="5" s="1"/>
  <c r="H8" i="4"/>
  <c r="P8" i="5" s="1"/>
  <c r="D8" i="4"/>
  <c r="H7" i="4"/>
  <c r="P7" i="5" s="1"/>
  <c r="D7" i="4"/>
  <c r="B7" i="5" s="1"/>
  <c r="D6" i="4"/>
  <c r="H6" i="4" s="1"/>
  <c r="D5" i="4"/>
  <c r="H5" i="4" s="1"/>
  <c r="C49" i="5" s="1"/>
  <c r="D4" i="4"/>
  <c r="B31" i="5" s="1"/>
  <c r="L31" i="5" s="1"/>
  <c r="AF28" i="3"/>
  <c r="AG28" i="3" s="1"/>
  <c r="AG27" i="3"/>
  <c r="AF27" i="3"/>
  <c r="J42" i="5" s="1"/>
  <c r="AG26" i="3"/>
  <c r="AF26" i="3"/>
  <c r="AG25" i="3"/>
  <c r="AF25" i="3"/>
  <c r="AF24" i="3"/>
  <c r="G42" i="5" s="1"/>
  <c r="AF23" i="3"/>
  <c r="F47" i="5" s="1"/>
  <c r="AF22" i="3"/>
  <c r="AF21" i="3"/>
  <c r="D45" i="5" s="1"/>
  <c r="AF20" i="3"/>
  <c r="AG20" i="3" s="1"/>
  <c r="AF19" i="3"/>
  <c r="B45" i="5" s="1"/>
  <c r="L45" i="5" s="1"/>
  <c r="AG14" i="3"/>
  <c r="AF14" i="3"/>
  <c r="K23" i="5" s="1"/>
  <c r="AF13" i="3"/>
  <c r="J24" i="5" s="1"/>
  <c r="AF12" i="3"/>
  <c r="AG11" i="3"/>
  <c r="AF11" i="3"/>
  <c r="AF10" i="3"/>
  <c r="AF9" i="3"/>
  <c r="AF8" i="3"/>
  <c r="E30" i="5" s="1"/>
  <c r="AF7" i="3"/>
  <c r="AF6" i="3"/>
  <c r="AG6" i="3" s="1"/>
  <c r="AF5" i="3"/>
  <c r="AG5" i="3" s="1"/>
  <c r="B12" i="15" l="1"/>
  <c r="O137" i="14"/>
  <c r="O137" i="13"/>
  <c r="B13" i="15"/>
  <c r="O139" i="14"/>
  <c r="O139" i="13"/>
  <c r="O143" i="14"/>
  <c r="B10" i="15"/>
  <c r="O143" i="13"/>
  <c r="F47" i="14"/>
  <c r="F47" i="13"/>
  <c r="B50" i="14"/>
  <c r="B50" i="13"/>
  <c r="B138" i="14"/>
  <c r="B138" i="13"/>
  <c r="O7" i="5"/>
  <c r="P139" i="14"/>
  <c r="P139" i="13"/>
  <c r="C13" i="15"/>
  <c r="E56" i="13"/>
  <c r="E10" i="16"/>
  <c r="E56" i="14"/>
  <c r="E154" i="13"/>
  <c r="E154" i="14"/>
  <c r="E7" i="9"/>
  <c r="C15" i="15"/>
  <c r="P138" i="14"/>
  <c r="P138" i="13"/>
  <c r="P142" i="14"/>
  <c r="C9" i="15"/>
  <c r="P142" i="13"/>
  <c r="B140" i="14"/>
  <c r="B140" i="13"/>
  <c r="O9" i="5"/>
  <c r="C7" i="15"/>
  <c r="P141" i="14"/>
  <c r="P141" i="13"/>
  <c r="F259" i="11"/>
  <c r="W11" i="7"/>
  <c r="F380" i="11"/>
  <c r="F244" i="11"/>
  <c r="C12" i="15"/>
  <c r="P137" i="14"/>
  <c r="P137" i="13"/>
  <c r="B41" i="13"/>
  <c r="B41" i="14"/>
  <c r="D20" i="5"/>
  <c r="D21" i="5"/>
  <c r="M21" i="5" s="1"/>
  <c r="D24" i="5"/>
  <c r="N24" i="5" s="1"/>
  <c r="F138" i="14"/>
  <c r="F138" i="13"/>
  <c r="C143" i="13"/>
  <c r="C143" i="14"/>
  <c r="P144" i="13"/>
  <c r="C8" i="15"/>
  <c r="P144" i="14"/>
  <c r="G19" i="14"/>
  <c r="G19" i="13"/>
  <c r="F21" i="5"/>
  <c r="F22" i="5"/>
  <c r="F23" i="5"/>
  <c r="F26" i="5"/>
  <c r="G22" i="5"/>
  <c r="G23" i="5"/>
  <c r="G24" i="5"/>
  <c r="G27" i="5"/>
  <c r="E40" i="5"/>
  <c r="E41" i="5"/>
  <c r="E42" i="5"/>
  <c r="E45" i="5"/>
  <c r="AG10" i="3"/>
  <c r="AG22" i="3"/>
  <c r="D49" i="5"/>
  <c r="N137" i="14"/>
  <c r="N137" i="13"/>
  <c r="M138" i="14"/>
  <c r="M138" i="13"/>
  <c r="L139" i="13"/>
  <c r="L139" i="14"/>
  <c r="K140" i="14"/>
  <c r="K140" i="13"/>
  <c r="K141" i="14"/>
  <c r="K141" i="13"/>
  <c r="K142" i="14"/>
  <c r="K142" i="13"/>
  <c r="J143" i="13"/>
  <c r="J143" i="14"/>
  <c r="I144" i="13"/>
  <c r="I144" i="14"/>
  <c r="N21" i="5"/>
  <c r="D23" i="5"/>
  <c r="D26" i="5"/>
  <c r="E29" i="5"/>
  <c r="E38" i="5"/>
  <c r="K39" i="5"/>
  <c r="C41" i="5"/>
  <c r="C44" i="5"/>
  <c r="F21" i="14"/>
  <c r="F21" i="13"/>
  <c r="D15" i="7"/>
  <c r="D14" i="7"/>
  <c r="D8" i="7"/>
  <c r="AK6" i="6"/>
  <c r="D11" i="7"/>
  <c r="D7" i="7"/>
  <c r="D12" i="7"/>
  <c r="B80" i="11" s="1"/>
  <c r="D10" i="7"/>
  <c r="G26" i="14"/>
  <c r="G26" i="13"/>
  <c r="N6" i="10"/>
  <c r="N15" i="10"/>
  <c r="N11" i="10"/>
  <c r="N12" i="10"/>
  <c r="N4" i="10"/>
  <c r="N13" i="10"/>
  <c r="N5" i="10"/>
  <c r="N9" i="10"/>
  <c r="N7" i="10"/>
  <c r="N14" i="10"/>
  <c r="N10" i="10"/>
  <c r="N8" i="10"/>
  <c r="F376" i="11"/>
  <c r="F255" i="11"/>
  <c r="W7" i="7"/>
  <c r="F240" i="11"/>
  <c r="G136" i="14"/>
  <c r="G136" i="13"/>
  <c r="E138" i="14"/>
  <c r="E138" i="13"/>
  <c r="D139" i="14"/>
  <c r="D139" i="13"/>
  <c r="C140" i="14"/>
  <c r="C140" i="13"/>
  <c r="H23" i="5"/>
  <c r="H24" i="5"/>
  <c r="H25" i="5"/>
  <c r="H28" i="5"/>
  <c r="O28" i="5" s="1"/>
  <c r="F41" i="5"/>
  <c r="F42" i="5"/>
  <c r="F43" i="5"/>
  <c r="AG23" i="3"/>
  <c r="F46" i="5"/>
  <c r="B4" i="5"/>
  <c r="B5" i="5"/>
  <c r="P5" i="5"/>
  <c r="N138" i="14"/>
  <c r="N138" i="13"/>
  <c r="M139" i="13"/>
  <c r="M139" i="14"/>
  <c r="L140" i="14"/>
  <c r="L140" i="13"/>
  <c r="L141" i="14"/>
  <c r="L141" i="13"/>
  <c r="L142" i="14"/>
  <c r="L142" i="13"/>
  <c r="K143" i="14"/>
  <c r="K143" i="13"/>
  <c r="J144" i="14"/>
  <c r="J144" i="13"/>
  <c r="K20" i="5"/>
  <c r="E23" i="5"/>
  <c r="E26" i="5"/>
  <c r="F29" i="5"/>
  <c r="F38" i="5"/>
  <c r="E44" i="5"/>
  <c r="D14" i="10"/>
  <c r="D4" i="10"/>
  <c r="D9" i="10"/>
  <c r="D15" i="10"/>
  <c r="D6" i="10"/>
  <c r="D7" i="10"/>
  <c r="D8" i="10"/>
  <c r="D12" i="10"/>
  <c r="D10" i="10"/>
  <c r="D13" i="10"/>
  <c r="D11" i="10"/>
  <c r="D5" i="10"/>
  <c r="F32" i="14"/>
  <c r="F32" i="13"/>
  <c r="O4" i="7"/>
  <c r="O9" i="7"/>
  <c r="X9" i="7" s="1"/>
  <c r="O5" i="7"/>
  <c r="X5" i="7" s="1"/>
  <c r="O13" i="7"/>
  <c r="AK17" i="6"/>
  <c r="O10" i="7"/>
  <c r="X10" i="7" s="1"/>
  <c r="O11" i="10"/>
  <c r="O7" i="7"/>
  <c r="X7" i="7" s="1"/>
  <c r="O8" i="10"/>
  <c r="O6" i="10"/>
  <c r="X6" i="10" s="1"/>
  <c r="O15" i="7"/>
  <c r="X15" i="7" s="1"/>
  <c r="O8" i="7"/>
  <c r="X8" i="7" s="1"/>
  <c r="C59" i="14"/>
  <c r="C59" i="13"/>
  <c r="C341" i="11"/>
  <c r="C227" i="11"/>
  <c r="C311" i="11"/>
  <c r="C242" i="11"/>
  <c r="C326" i="11"/>
  <c r="C212" i="11"/>
  <c r="C257" i="11"/>
  <c r="B281" i="11"/>
  <c r="C152" i="11"/>
  <c r="C197" i="11"/>
  <c r="C167" i="11"/>
  <c r="C92" i="11"/>
  <c r="C107" i="11"/>
  <c r="C182" i="11"/>
  <c r="C77" i="11"/>
  <c r="C7" i="8"/>
  <c r="F50" i="14"/>
  <c r="F50" i="13"/>
  <c r="C135" i="14"/>
  <c r="C135" i="13"/>
  <c r="C136" i="13"/>
  <c r="C136" i="14"/>
  <c r="B137" i="14"/>
  <c r="B137" i="13"/>
  <c r="N139" i="14"/>
  <c r="N139" i="13"/>
  <c r="M140" i="13"/>
  <c r="M140" i="14"/>
  <c r="M141" i="14"/>
  <c r="M141" i="13"/>
  <c r="M142" i="14"/>
  <c r="M142" i="13"/>
  <c r="L143" i="14"/>
  <c r="L143" i="13"/>
  <c r="K144" i="14"/>
  <c r="K144" i="13"/>
  <c r="B22" i="5"/>
  <c r="L22" i="5" s="1"/>
  <c r="B28" i="5"/>
  <c r="L28" i="5" s="1"/>
  <c r="F44" i="5"/>
  <c r="B46" i="5"/>
  <c r="L46" i="5" s="1"/>
  <c r="C379" i="11"/>
  <c r="C138" i="11"/>
  <c r="T10" i="7"/>
  <c r="F27" i="14"/>
  <c r="F27" i="13"/>
  <c r="J11" i="7"/>
  <c r="J6" i="7"/>
  <c r="J8" i="7"/>
  <c r="J359" i="11" s="1"/>
  <c r="R359" i="11" s="1"/>
  <c r="J12" i="7"/>
  <c r="J15" i="7"/>
  <c r="J9" i="7"/>
  <c r="J5" i="7"/>
  <c r="J13" i="7"/>
  <c r="J10" i="7"/>
  <c r="J15" i="10"/>
  <c r="J14" i="7"/>
  <c r="J7" i="7"/>
  <c r="O9" i="10"/>
  <c r="O6" i="7"/>
  <c r="X6" i="7" s="1"/>
  <c r="Q15" i="7"/>
  <c r="I30" i="5"/>
  <c r="I29" i="5"/>
  <c r="I28" i="5"/>
  <c r="I27" i="5"/>
  <c r="I26" i="5"/>
  <c r="I25" i="5"/>
  <c r="I24" i="5"/>
  <c r="I23" i="5"/>
  <c r="I22" i="5"/>
  <c r="I21" i="5"/>
  <c r="I20" i="5"/>
  <c r="AG12" i="3"/>
  <c r="H43" i="5"/>
  <c r="H44" i="5"/>
  <c r="H45" i="5"/>
  <c r="H48" i="5"/>
  <c r="D135" i="14"/>
  <c r="D135" i="13"/>
  <c r="D136" i="14"/>
  <c r="D136" i="13"/>
  <c r="C137" i="14"/>
  <c r="C137" i="13"/>
  <c r="N140" i="14"/>
  <c r="N140" i="13"/>
  <c r="N141" i="14"/>
  <c r="N141" i="13"/>
  <c r="B25" i="5"/>
  <c r="L25" i="5" s="1"/>
  <c r="H26" i="5"/>
  <c r="M28" i="5"/>
  <c r="H29" i="5"/>
  <c r="C31" i="5"/>
  <c r="H38" i="5"/>
  <c r="J41" i="5"/>
  <c r="K44" i="5"/>
  <c r="C46" i="5"/>
  <c r="J47" i="5"/>
  <c r="F49" i="5"/>
  <c r="N49" i="5" s="1"/>
  <c r="G22" i="14"/>
  <c r="G22" i="13"/>
  <c r="G27" i="14"/>
  <c r="G27" i="13"/>
  <c r="Q4" i="7"/>
  <c r="Y4" i="7" s="1"/>
  <c r="Q5" i="7"/>
  <c r="Y5" i="7" s="1"/>
  <c r="Q8" i="7"/>
  <c r="L4" i="10"/>
  <c r="E135" i="14"/>
  <c r="E135" i="13"/>
  <c r="E136" i="14"/>
  <c r="E136" i="13"/>
  <c r="D137" i="14"/>
  <c r="D137" i="13"/>
  <c r="C138" i="14"/>
  <c r="C138" i="13"/>
  <c r="B139" i="14"/>
  <c r="B139" i="13"/>
  <c r="N143" i="14"/>
  <c r="N143" i="13"/>
  <c r="D22" i="5"/>
  <c r="D28" i="5"/>
  <c r="N28" i="5" s="1"/>
  <c r="D31" i="5"/>
  <c r="J38" i="5"/>
  <c r="B40" i="5"/>
  <c r="L40" i="5" s="1"/>
  <c r="B43" i="5"/>
  <c r="L43" i="5" s="1"/>
  <c r="G49" i="5"/>
  <c r="V5" i="10"/>
  <c r="F77" i="14"/>
  <c r="F77" i="13"/>
  <c r="F262" i="11"/>
  <c r="F383" i="11"/>
  <c r="F247" i="11"/>
  <c r="L365" i="11"/>
  <c r="W14" i="7"/>
  <c r="M144" i="14"/>
  <c r="M144" i="13"/>
  <c r="E9" i="10"/>
  <c r="T9" i="10" s="1"/>
  <c r="E6" i="10"/>
  <c r="E7" i="10"/>
  <c r="E8" i="10"/>
  <c r="E4" i="10"/>
  <c r="T4" i="10" s="1"/>
  <c r="E12" i="10"/>
  <c r="T12" i="10" s="1"/>
  <c r="E10" i="10"/>
  <c r="E14" i="10"/>
  <c r="T14" i="10" s="1"/>
  <c r="E13" i="10"/>
  <c r="E11" i="10"/>
  <c r="T11" i="10" s="1"/>
  <c r="E5" i="10"/>
  <c r="T5" i="10" s="1"/>
  <c r="E15" i="10"/>
  <c r="K25" i="5"/>
  <c r="K26" i="5"/>
  <c r="K27" i="5"/>
  <c r="K30" i="5"/>
  <c r="I48" i="5"/>
  <c r="I47" i="5"/>
  <c r="O47" i="5" s="1"/>
  <c r="I46" i="5"/>
  <c r="O46" i="5" s="1"/>
  <c r="I45" i="5"/>
  <c r="I44" i="5"/>
  <c r="I43" i="5"/>
  <c r="I42" i="5"/>
  <c r="I41" i="5"/>
  <c r="O41" i="5" s="1"/>
  <c r="I40" i="5"/>
  <c r="O40" i="5" s="1"/>
  <c r="I39" i="5"/>
  <c r="I38" i="5"/>
  <c r="F135" i="14"/>
  <c r="F135" i="13"/>
  <c r="F136" i="14"/>
  <c r="F136" i="13"/>
  <c r="E137" i="14"/>
  <c r="E137" i="13"/>
  <c r="D138" i="14"/>
  <c r="D138" i="13"/>
  <c r="C139" i="14"/>
  <c r="C139" i="13"/>
  <c r="B10" i="5"/>
  <c r="B11" i="5"/>
  <c r="N144" i="14"/>
  <c r="N144" i="13"/>
  <c r="H22" i="5"/>
  <c r="O22" i="5" s="1"/>
  <c r="D25" i="5"/>
  <c r="N25" i="5" s="1"/>
  <c r="E28" i="5"/>
  <c r="K29" i="5"/>
  <c r="E31" i="5"/>
  <c r="K38" i="5"/>
  <c r="F40" i="5"/>
  <c r="D43" i="5"/>
  <c r="E46" i="5"/>
  <c r="P10" i="10"/>
  <c r="P5" i="10"/>
  <c r="P13" i="10"/>
  <c r="P14" i="10"/>
  <c r="P15" i="10"/>
  <c r="P9" i="10"/>
  <c r="P7" i="10"/>
  <c r="P11" i="10"/>
  <c r="P4" i="10"/>
  <c r="P8" i="10"/>
  <c r="P6" i="10"/>
  <c r="P12" i="10"/>
  <c r="C57" i="14"/>
  <c r="C57" i="13"/>
  <c r="F232" i="11"/>
  <c r="G135" i="14"/>
  <c r="G135" i="13"/>
  <c r="C142" i="13"/>
  <c r="C142" i="14"/>
  <c r="C10" i="15"/>
  <c r="P143" i="13"/>
  <c r="P143" i="14"/>
  <c r="F24" i="14"/>
  <c r="F24" i="13"/>
  <c r="G13" i="7"/>
  <c r="G12" i="7"/>
  <c r="G14" i="7"/>
  <c r="G4" i="7"/>
  <c r="G8" i="7"/>
  <c r="G15" i="7"/>
  <c r="G9" i="7"/>
  <c r="G5" i="7"/>
  <c r="G11" i="7"/>
  <c r="F29" i="14"/>
  <c r="F29" i="13"/>
  <c r="L6" i="7"/>
  <c r="L10" i="7"/>
  <c r="L5" i="7"/>
  <c r="L15" i="7"/>
  <c r="L9" i="7"/>
  <c r="L13" i="7"/>
  <c r="L4" i="7"/>
  <c r="L14" i="10"/>
  <c r="L12" i="10"/>
  <c r="W12" i="10" s="1"/>
  <c r="L12" i="7"/>
  <c r="Q14" i="10"/>
  <c r="Y14" i="10" s="1"/>
  <c r="Q4" i="10"/>
  <c r="Q5" i="10"/>
  <c r="Y5" i="10" s="1"/>
  <c r="Q9" i="10"/>
  <c r="Q7" i="10"/>
  <c r="Y7" i="10" s="1"/>
  <c r="Q13" i="10"/>
  <c r="Y13" i="10" s="1"/>
  <c r="Q11" i="10"/>
  <c r="Y11" i="10" s="1"/>
  <c r="Q15" i="10"/>
  <c r="Q8" i="10"/>
  <c r="Q6" i="10"/>
  <c r="Q12" i="10"/>
  <c r="Y12" i="10" s="1"/>
  <c r="Q10" i="10"/>
  <c r="O14" i="7"/>
  <c r="X14" i="7" s="1"/>
  <c r="F137" i="14"/>
  <c r="F137" i="13"/>
  <c r="B8" i="15"/>
  <c r="O144" i="13"/>
  <c r="O144" i="14"/>
  <c r="I135" i="14"/>
  <c r="I135" i="13"/>
  <c r="I136" i="13"/>
  <c r="I136" i="14"/>
  <c r="H137" i="13"/>
  <c r="H137" i="14"/>
  <c r="G138" i="13"/>
  <c r="G138" i="14"/>
  <c r="F139" i="13"/>
  <c r="F139" i="14"/>
  <c r="E140" i="13"/>
  <c r="E140" i="14"/>
  <c r="E141" i="13"/>
  <c r="E141" i="14"/>
  <c r="E142" i="14"/>
  <c r="E142" i="13"/>
  <c r="D143" i="14"/>
  <c r="D143" i="13"/>
  <c r="C144" i="14"/>
  <c r="C144" i="13"/>
  <c r="G21" i="5"/>
  <c r="B24" i="5"/>
  <c r="L24" i="5" s="1"/>
  <c r="M27" i="5"/>
  <c r="J40" i="5"/>
  <c r="K43" i="5"/>
  <c r="E48" i="5"/>
  <c r="F19" i="14"/>
  <c r="F19" i="13"/>
  <c r="B9" i="7"/>
  <c r="B10" i="7"/>
  <c r="B361" i="11" s="1"/>
  <c r="O361" i="11" s="1"/>
  <c r="B6" i="7"/>
  <c r="B14" i="7"/>
  <c r="B11" i="7"/>
  <c r="B7" i="7"/>
  <c r="B12" i="7"/>
  <c r="B13" i="7"/>
  <c r="B5" i="7"/>
  <c r="AK9" i="6"/>
  <c r="AK14" i="6"/>
  <c r="F35" i="14"/>
  <c r="F35" i="13"/>
  <c r="R15" i="7"/>
  <c r="R8" i="7"/>
  <c r="AK20" i="6"/>
  <c r="R10" i="7"/>
  <c r="R6" i="7"/>
  <c r="R7" i="7"/>
  <c r="R14" i="7"/>
  <c r="R11" i="7"/>
  <c r="Y11" i="7" s="1"/>
  <c r="R13" i="7"/>
  <c r="D9" i="7"/>
  <c r="D360" i="11" s="1"/>
  <c r="G10" i="7"/>
  <c r="O11" i="7"/>
  <c r="X11" i="7" s="1"/>
  <c r="J13" i="10"/>
  <c r="W10" i="10"/>
  <c r="R14" i="10"/>
  <c r="R4" i="10"/>
  <c r="R9" i="10"/>
  <c r="R5" i="10"/>
  <c r="R15" i="10"/>
  <c r="R7" i="10"/>
  <c r="R13" i="10"/>
  <c r="R11" i="10"/>
  <c r="R12" i="10"/>
  <c r="R10" i="10"/>
  <c r="C378" i="11"/>
  <c r="E360" i="11"/>
  <c r="C137" i="11"/>
  <c r="D13" i="7"/>
  <c r="B81" i="11" s="1"/>
  <c r="R6" i="10"/>
  <c r="C16" i="15"/>
  <c r="P140" i="14"/>
  <c r="P140" i="13"/>
  <c r="C141" i="14"/>
  <c r="C141" i="13"/>
  <c r="B143" i="13"/>
  <c r="B143" i="14"/>
  <c r="J135" i="13"/>
  <c r="J135" i="14"/>
  <c r="J136" i="13"/>
  <c r="J136" i="14"/>
  <c r="G139" i="13"/>
  <c r="G139" i="14"/>
  <c r="F140" i="13"/>
  <c r="F140" i="14"/>
  <c r="F141" i="14"/>
  <c r="F141" i="13"/>
  <c r="E143" i="14"/>
  <c r="E143" i="13"/>
  <c r="H21" i="5"/>
  <c r="F48" i="5"/>
  <c r="G13" i="10"/>
  <c r="G8" i="10"/>
  <c r="G4" i="10"/>
  <c r="U4" i="10" s="1"/>
  <c r="G12" i="10"/>
  <c r="G10" i="10"/>
  <c r="G6" i="10"/>
  <c r="G14" i="10"/>
  <c r="U14" i="10" s="1"/>
  <c r="G11" i="10"/>
  <c r="U11" i="10" s="1"/>
  <c r="G9" i="10"/>
  <c r="G5" i="10"/>
  <c r="G15" i="10"/>
  <c r="AG8" i="3"/>
  <c r="I49" i="5"/>
  <c r="O49" i="5" s="1"/>
  <c r="K135" i="13"/>
  <c r="K135" i="14"/>
  <c r="K136" i="14"/>
  <c r="K136" i="13"/>
  <c r="J137" i="14"/>
  <c r="J137" i="13"/>
  <c r="I138" i="14"/>
  <c r="I138" i="13"/>
  <c r="H139" i="14"/>
  <c r="H139" i="13"/>
  <c r="G140" i="14"/>
  <c r="G140" i="13"/>
  <c r="G141" i="14"/>
  <c r="G141" i="13"/>
  <c r="G142" i="14"/>
  <c r="G142" i="13"/>
  <c r="F143" i="14"/>
  <c r="F143" i="13"/>
  <c r="E144" i="14"/>
  <c r="E144" i="13"/>
  <c r="B20" i="5"/>
  <c r="L20" i="5" s="1"/>
  <c r="C5" i="12" s="1"/>
  <c r="E24" i="5"/>
  <c r="M24" i="5" s="1"/>
  <c r="E27" i="5"/>
  <c r="K31" i="5"/>
  <c r="O31" i="5" s="1"/>
  <c r="F39" i="5"/>
  <c r="D42" i="5"/>
  <c r="B10" i="10"/>
  <c r="B5" i="10"/>
  <c r="B15" i="10"/>
  <c r="B4" i="10"/>
  <c r="B8" i="10"/>
  <c r="B6" i="10"/>
  <c r="B14" i="10"/>
  <c r="S14" i="10" s="1"/>
  <c r="B12" i="10"/>
  <c r="B9" i="10"/>
  <c r="B7" i="10"/>
  <c r="S7" i="10" s="1"/>
  <c r="B13" i="10"/>
  <c r="B11" i="10"/>
  <c r="F30" i="14"/>
  <c r="F30" i="13"/>
  <c r="M10" i="7"/>
  <c r="M5" i="7"/>
  <c r="M15" i="10"/>
  <c r="M15" i="7"/>
  <c r="F233" i="11" s="1"/>
  <c r="M9" i="7"/>
  <c r="F227" i="11" s="1"/>
  <c r="M5" i="10"/>
  <c r="M13" i="7"/>
  <c r="M13" i="10"/>
  <c r="M9" i="10"/>
  <c r="M7" i="10"/>
  <c r="M14" i="10"/>
  <c r="M8" i="7"/>
  <c r="F226" i="11" s="1"/>
  <c r="M10" i="10"/>
  <c r="M8" i="10"/>
  <c r="M12" i="7"/>
  <c r="B4" i="7"/>
  <c r="D6" i="7"/>
  <c r="D357" i="11" s="1"/>
  <c r="B8" i="7"/>
  <c r="K7" i="10"/>
  <c r="K10" i="10"/>
  <c r="K11" i="10"/>
  <c r="K15" i="10"/>
  <c r="K8" i="10"/>
  <c r="K5" i="10"/>
  <c r="K13" i="10"/>
  <c r="K4" i="10"/>
  <c r="K6" i="10"/>
  <c r="K14" i="10"/>
  <c r="K12" i="10"/>
  <c r="B78" i="11"/>
  <c r="B38" i="5"/>
  <c r="L38" i="5" s="1"/>
  <c r="B39" i="5"/>
  <c r="L39" i="5" s="1"/>
  <c r="B42" i="5"/>
  <c r="L42" i="5" s="1"/>
  <c r="B47" i="5"/>
  <c r="L47" i="5" s="1"/>
  <c r="H135" i="14"/>
  <c r="H135" i="13"/>
  <c r="H136" i="14"/>
  <c r="H136" i="13"/>
  <c r="G137" i="14"/>
  <c r="G137" i="13"/>
  <c r="D141" i="13"/>
  <c r="D141" i="14"/>
  <c r="AG7" i="3"/>
  <c r="AG19" i="3"/>
  <c r="C38" i="5"/>
  <c r="C39" i="5"/>
  <c r="C40" i="5"/>
  <c r="C43" i="5"/>
  <c r="C48" i="5"/>
  <c r="K45" i="5"/>
  <c r="K46" i="5"/>
  <c r="K47" i="5"/>
  <c r="H138" i="13"/>
  <c r="H138" i="14"/>
  <c r="F142" i="14"/>
  <c r="F142" i="13"/>
  <c r="D144" i="14"/>
  <c r="D144" i="13"/>
  <c r="D27" i="5"/>
  <c r="D30" i="5"/>
  <c r="N30" i="5" s="1"/>
  <c r="K40" i="5"/>
  <c r="C42" i="5"/>
  <c r="C45" i="5"/>
  <c r="D39" i="5"/>
  <c r="D40" i="5"/>
  <c r="D41" i="5"/>
  <c r="D44" i="5"/>
  <c r="L135" i="14"/>
  <c r="L135" i="13"/>
  <c r="F20" i="5"/>
  <c r="K21" i="5"/>
  <c r="F24" i="5"/>
  <c r="F27" i="5"/>
  <c r="B29" i="5"/>
  <c r="L29" i="5" s="1"/>
  <c r="F30" i="5"/>
  <c r="H42" i="5"/>
  <c r="O42" i="5" s="1"/>
  <c r="F45" i="5"/>
  <c r="C47" i="5"/>
  <c r="J48" i="5"/>
  <c r="G25" i="13"/>
  <c r="G25" i="14"/>
  <c r="AK15" i="6"/>
  <c r="D4" i="7"/>
  <c r="D5" i="7"/>
  <c r="C375" i="11"/>
  <c r="C134" i="11"/>
  <c r="E379" i="11"/>
  <c r="E198" i="11"/>
  <c r="D140" i="14"/>
  <c r="D140" i="13"/>
  <c r="E20" i="5"/>
  <c r="E21" i="5"/>
  <c r="E22" i="5"/>
  <c r="E25" i="5"/>
  <c r="M25" i="5" s="1"/>
  <c r="B51" i="14"/>
  <c r="C15" i="12"/>
  <c r="B51" i="13"/>
  <c r="AG9" i="3"/>
  <c r="AG21" i="3"/>
  <c r="H4" i="4"/>
  <c r="G20" i="5"/>
  <c r="B23" i="5"/>
  <c r="L23" i="5" s="1"/>
  <c r="K24" i="5"/>
  <c r="B26" i="5"/>
  <c r="L26" i="5" s="1"/>
  <c r="H27" i="5"/>
  <c r="G30" i="5"/>
  <c r="H39" i="5"/>
  <c r="D47" i="5"/>
  <c r="K48" i="5"/>
  <c r="G20" i="13"/>
  <c r="G20" i="14"/>
  <c r="H8" i="10"/>
  <c r="H9" i="10"/>
  <c r="H12" i="10"/>
  <c r="H10" i="10"/>
  <c r="H6" i="10"/>
  <c r="H14" i="10"/>
  <c r="H7" i="10"/>
  <c r="H15" i="10"/>
  <c r="H13" i="10"/>
  <c r="H4" i="10"/>
  <c r="T4" i="7"/>
  <c r="C374" i="11"/>
  <c r="G6" i="7"/>
  <c r="E377" i="11"/>
  <c r="E196" i="11"/>
  <c r="B15" i="7"/>
  <c r="F34" i="13"/>
  <c r="F34" i="14"/>
  <c r="Q12" i="7"/>
  <c r="Y12" i="7" s="1"/>
  <c r="Q9" i="7"/>
  <c r="Y9" i="7" s="1"/>
  <c r="Q13" i="7"/>
  <c r="Y13" i="7" s="1"/>
  <c r="Q10" i="7"/>
  <c r="Y10" i="7" s="1"/>
  <c r="Q6" i="7"/>
  <c r="Y6" i="7" s="1"/>
  <c r="Q7" i="7"/>
  <c r="Y7" i="7" s="1"/>
  <c r="Q14" i="7"/>
  <c r="Y14" i="7" s="1"/>
  <c r="AK19" i="6"/>
  <c r="J44" i="5"/>
  <c r="J45" i="5"/>
  <c r="J46" i="5"/>
  <c r="J49" i="5"/>
  <c r="E139" i="14"/>
  <c r="E139" i="13"/>
  <c r="D142" i="13"/>
  <c r="D142" i="14"/>
  <c r="B144" i="13"/>
  <c r="B144" i="14"/>
  <c r="B47" i="14"/>
  <c r="B47" i="13"/>
  <c r="J43" i="5"/>
  <c r="I137" i="13"/>
  <c r="I137" i="14"/>
  <c r="H20" i="5"/>
  <c r="O20" i="5" s="1"/>
  <c r="D29" i="5"/>
  <c r="N29" i="5" s="1"/>
  <c r="H30" i="5"/>
  <c r="O30" i="5" s="1"/>
  <c r="D38" i="5"/>
  <c r="J39" i="5"/>
  <c r="B41" i="5"/>
  <c r="L41" i="5" s="1"/>
  <c r="K42" i="5"/>
  <c r="B44" i="5"/>
  <c r="L44" i="5" s="1"/>
  <c r="E47" i="5"/>
  <c r="C14" i="10"/>
  <c r="C4" i="10"/>
  <c r="C5" i="10"/>
  <c r="C15" i="10"/>
  <c r="C6" i="10"/>
  <c r="C8" i="10"/>
  <c r="C12" i="10"/>
  <c r="C10" i="10"/>
  <c r="C9" i="10"/>
  <c r="C7" i="10"/>
  <c r="C13" i="10"/>
  <c r="C11" i="10"/>
  <c r="F31" i="14"/>
  <c r="N13" i="7"/>
  <c r="F31" i="13"/>
  <c r="N10" i="7"/>
  <c r="N5" i="7"/>
  <c r="N4" i="7"/>
  <c r="N6" i="7"/>
  <c r="F224" i="11" s="1"/>
  <c r="AK16" i="6"/>
  <c r="N12" i="7"/>
  <c r="N15" i="7"/>
  <c r="N366" i="11" s="1"/>
  <c r="D149" i="11"/>
  <c r="E376" i="11"/>
  <c r="E195" i="11"/>
  <c r="L8" i="7"/>
  <c r="N9" i="7"/>
  <c r="R8" i="10"/>
  <c r="J6" i="10"/>
  <c r="L8" i="10"/>
  <c r="W8" i="10" s="1"/>
  <c r="F20" i="14"/>
  <c r="F20" i="13"/>
  <c r="C9" i="7"/>
  <c r="C15" i="7"/>
  <c r="F25" i="13"/>
  <c r="F25" i="14"/>
  <c r="H15" i="7"/>
  <c r="D158" i="11" s="1"/>
  <c r="H12" i="7"/>
  <c r="D155" i="11" s="1"/>
  <c r="H7" i="7"/>
  <c r="D150" i="11" s="1"/>
  <c r="L11" i="10"/>
  <c r="F6" i="7"/>
  <c r="C119" i="11" s="1"/>
  <c r="H11" i="7"/>
  <c r="H362" i="11" s="1"/>
  <c r="J4" i="10"/>
  <c r="V4" i="10" s="1"/>
  <c r="L6" i="10"/>
  <c r="F15" i="10"/>
  <c r="U7" i="10"/>
  <c r="I13" i="10"/>
  <c r="F22" i="14"/>
  <c r="F22" i="13"/>
  <c r="E15" i="7"/>
  <c r="E14" i="7"/>
  <c r="E8" i="7"/>
  <c r="E13" i="7"/>
  <c r="I12" i="10"/>
  <c r="I8" i="10"/>
  <c r="I9" i="10"/>
  <c r="I10" i="10"/>
  <c r="C4" i="7"/>
  <c r="I5" i="10"/>
  <c r="L7" i="10"/>
  <c r="L9" i="10"/>
  <c r="I11" i="10"/>
  <c r="L15" i="10"/>
  <c r="E382" i="11"/>
  <c r="E201" i="11"/>
  <c r="L13" i="10"/>
  <c r="W13" i="10" s="1"/>
  <c r="C373" i="11"/>
  <c r="C8" i="7"/>
  <c r="B76" i="11" s="1"/>
  <c r="M135" i="14"/>
  <c r="M135" i="13"/>
  <c r="L136" i="14"/>
  <c r="L136" i="13"/>
  <c r="K137" i="14"/>
  <c r="K137" i="13"/>
  <c r="I139" i="14"/>
  <c r="I139" i="13"/>
  <c r="H140" i="14"/>
  <c r="H140" i="13"/>
  <c r="H141" i="14"/>
  <c r="H141" i="13"/>
  <c r="H142" i="14"/>
  <c r="H142" i="13"/>
  <c r="G143" i="14"/>
  <c r="G143" i="13"/>
  <c r="F144" i="14"/>
  <c r="F144" i="13"/>
  <c r="C20" i="5"/>
  <c r="J26" i="5"/>
  <c r="G44" i="5"/>
  <c r="F23" i="13"/>
  <c r="F23" i="14"/>
  <c r="F14" i="7"/>
  <c r="C127" i="11" s="1"/>
  <c r="F8" i="7"/>
  <c r="C121" i="11" s="1"/>
  <c r="F13" i="7"/>
  <c r="C126" i="11" s="1"/>
  <c r="F12" i="7"/>
  <c r="C125" i="11" s="1"/>
  <c r="J12" i="10"/>
  <c r="V12" i="10" s="1"/>
  <c r="J7" i="10"/>
  <c r="V7" i="10" s="1"/>
  <c r="J9" i="10"/>
  <c r="V9" i="10" s="1"/>
  <c r="J10" i="10"/>
  <c r="V10" i="10" s="1"/>
  <c r="J11" i="10"/>
  <c r="V11" i="10" s="1"/>
  <c r="F4" i="7"/>
  <c r="C7" i="7"/>
  <c r="E12" i="7"/>
  <c r="L5" i="10"/>
  <c r="W5" i="10" s="1"/>
  <c r="F6" i="10"/>
  <c r="O7" i="10"/>
  <c r="X7" i="10" s="1"/>
  <c r="N135" i="14"/>
  <c r="N135" i="13"/>
  <c r="M136" i="14"/>
  <c r="M136" i="13"/>
  <c r="L137" i="14"/>
  <c r="L137" i="13"/>
  <c r="K138" i="14"/>
  <c r="K138" i="13"/>
  <c r="J139" i="14"/>
  <c r="J139" i="13"/>
  <c r="I140" i="14"/>
  <c r="I140" i="13"/>
  <c r="I141" i="14"/>
  <c r="I141" i="13"/>
  <c r="I142" i="14"/>
  <c r="I142" i="13"/>
  <c r="H143" i="14"/>
  <c r="H143" i="13"/>
  <c r="G144" i="13"/>
  <c r="G144" i="14"/>
  <c r="J25" i="5"/>
  <c r="G43" i="5"/>
  <c r="AK8" i="6"/>
  <c r="F28" i="14"/>
  <c r="F28" i="13"/>
  <c r="K14" i="7"/>
  <c r="K11" i="7"/>
  <c r="K6" i="7"/>
  <c r="O15" i="10"/>
  <c r="X15" i="10" s="1"/>
  <c r="O10" i="10"/>
  <c r="X10" i="10" s="1"/>
  <c r="O5" i="10"/>
  <c r="X5" i="10" s="1"/>
  <c r="O12" i="10"/>
  <c r="X12" i="10" s="1"/>
  <c r="O4" i="10"/>
  <c r="X4" i="10" s="1"/>
  <c r="O13" i="10"/>
  <c r="X13" i="10" s="1"/>
  <c r="O14" i="10"/>
  <c r="X14" i="10" s="1"/>
  <c r="K5" i="7"/>
  <c r="E374" i="11" s="1"/>
  <c r="H8" i="7"/>
  <c r="D151" i="11" s="1"/>
  <c r="K9" i="7"/>
  <c r="C11" i="7"/>
  <c r="K15" i="7"/>
  <c r="F10" i="10"/>
  <c r="J138" i="14"/>
  <c r="J138" i="13"/>
  <c r="AG13" i="3"/>
  <c r="AG24" i="3"/>
  <c r="N136" i="14"/>
  <c r="N136" i="13"/>
  <c r="M137" i="14"/>
  <c r="M137" i="13"/>
  <c r="L138" i="14"/>
  <c r="L138" i="13"/>
  <c r="K139" i="14"/>
  <c r="K139" i="13"/>
  <c r="J140" i="14"/>
  <c r="J140" i="13"/>
  <c r="J141" i="14"/>
  <c r="J141" i="13"/>
  <c r="J142" i="14"/>
  <c r="J142" i="13"/>
  <c r="I143" i="13"/>
  <c r="I143" i="14"/>
  <c r="H144" i="13"/>
  <c r="H144" i="14"/>
  <c r="F13" i="10"/>
  <c r="F7" i="10"/>
  <c r="F8" i="10"/>
  <c r="AK13" i="6"/>
  <c r="F33" i="14"/>
  <c r="F33" i="13"/>
  <c r="P4" i="7"/>
  <c r="P9" i="7"/>
  <c r="H4" i="7"/>
  <c r="E7" i="7"/>
  <c r="P13" i="7"/>
  <c r="C14" i="7"/>
  <c r="B82" i="11" s="1"/>
  <c r="F4" i="10"/>
  <c r="J8" i="10"/>
  <c r="I14" i="10"/>
  <c r="G33" i="14"/>
  <c r="G33" i="13"/>
  <c r="C6" i="7"/>
  <c r="F7" i="7"/>
  <c r="C120" i="11" s="1"/>
  <c r="E11" i="7"/>
  <c r="E381" i="11"/>
  <c r="E200" i="11"/>
  <c r="I6" i="10"/>
  <c r="J14" i="10"/>
  <c r="E119" i="14"/>
  <c r="E119" i="13"/>
  <c r="E129" i="13"/>
  <c r="E129" i="14"/>
  <c r="D362" i="11"/>
  <c r="N362" i="11"/>
  <c r="N360" i="11"/>
  <c r="N358" i="11"/>
  <c r="N361" i="11"/>
  <c r="N359" i="11"/>
  <c r="N365" i="11"/>
  <c r="N363" i="11"/>
  <c r="N364" i="11"/>
  <c r="F361" i="11"/>
  <c r="F357" i="11"/>
  <c r="F366" i="11"/>
  <c r="F365" i="11"/>
  <c r="F362" i="11"/>
  <c r="F360" i="11"/>
  <c r="F364" i="11"/>
  <c r="G362" i="11"/>
  <c r="G361" i="11"/>
  <c r="G359" i="11"/>
  <c r="G357" i="11"/>
  <c r="Q357" i="11" s="1"/>
  <c r="G360" i="11"/>
  <c r="G365" i="11"/>
  <c r="G364" i="11"/>
  <c r="H365" i="11"/>
  <c r="H357" i="11"/>
  <c r="H366" i="11"/>
  <c r="Q366" i="11" s="1"/>
  <c r="H360" i="11"/>
  <c r="H363" i="11"/>
  <c r="H361" i="11"/>
  <c r="H364" i="11"/>
  <c r="H358" i="11"/>
  <c r="N142" i="14"/>
  <c r="N142" i="13"/>
  <c r="M143" i="14"/>
  <c r="M143" i="13"/>
  <c r="L144" i="14"/>
  <c r="L144" i="13"/>
  <c r="F26" i="14"/>
  <c r="F26" i="13"/>
  <c r="M11" i="10"/>
  <c r="M6" i="10"/>
  <c r="D376" i="11"/>
  <c r="D165" i="11"/>
  <c r="U7" i="7"/>
  <c r="I11" i="7"/>
  <c r="I362" i="11" s="1"/>
  <c r="M4" i="10"/>
  <c r="M12" i="10"/>
  <c r="D180" i="11"/>
  <c r="I357" i="11"/>
  <c r="I366" i="11"/>
  <c r="I364" i="11"/>
  <c r="I360" i="11"/>
  <c r="I358" i="11"/>
  <c r="I363" i="11"/>
  <c r="I365" i="11"/>
  <c r="I361" i="11"/>
  <c r="I359" i="11"/>
  <c r="J366" i="11"/>
  <c r="R366" i="11" s="1"/>
  <c r="J364" i="11"/>
  <c r="J362" i="11"/>
  <c r="J360" i="11"/>
  <c r="J358" i="11"/>
  <c r="J363" i="11"/>
  <c r="J361" i="11"/>
  <c r="F358" i="11"/>
  <c r="G363" i="11"/>
  <c r="G358" i="11"/>
  <c r="Q358" i="11" s="1"/>
  <c r="K7" i="12"/>
  <c r="B20" i="12" s="1"/>
  <c r="E121" i="14"/>
  <c r="E121" i="13"/>
  <c r="B365" i="11"/>
  <c r="B363" i="11"/>
  <c r="B362" i="11"/>
  <c r="B360" i="11"/>
  <c r="B358" i="11"/>
  <c r="K360" i="11"/>
  <c r="K366" i="11"/>
  <c r="K364" i="11"/>
  <c r="K362" i="11"/>
  <c r="K358" i="11"/>
  <c r="K363" i="11"/>
  <c r="K361" i="11"/>
  <c r="K359" i="11"/>
  <c r="K357" i="11"/>
  <c r="D365" i="11"/>
  <c r="D363" i="11"/>
  <c r="D361" i="11"/>
  <c r="D359" i="11"/>
  <c r="D366" i="11"/>
  <c r="D358" i="11"/>
  <c r="D364" i="11"/>
  <c r="L363" i="11"/>
  <c r="S363" i="11" s="1"/>
  <c r="L366" i="11"/>
  <c r="L364" i="11"/>
  <c r="L362" i="11"/>
  <c r="L360" i="11"/>
  <c r="L358" i="11"/>
  <c r="L361" i="11"/>
  <c r="L357" i="11"/>
  <c r="E365" i="11"/>
  <c r="E363" i="11"/>
  <c r="E361" i="11"/>
  <c r="P361" i="11" s="1"/>
  <c r="E359" i="11"/>
  <c r="E357" i="11"/>
  <c r="P357" i="11" s="1"/>
  <c r="E366" i="11"/>
  <c r="P366" i="11" s="1"/>
  <c r="M366" i="11"/>
  <c r="M364" i="11"/>
  <c r="M362" i="11"/>
  <c r="M360" i="11"/>
  <c r="M358" i="11"/>
  <c r="M361" i="11"/>
  <c r="M359" i="11"/>
  <c r="M357" i="11"/>
  <c r="M365" i="11"/>
  <c r="M363" i="11"/>
  <c r="E124" i="14"/>
  <c r="E124" i="13"/>
  <c r="K10" i="12"/>
  <c r="K4" i="12"/>
  <c r="K13" i="12"/>
  <c r="C364" i="11"/>
  <c r="C363" i="11"/>
  <c r="C361" i="11"/>
  <c r="K8" i="12"/>
  <c r="K12" i="12"/>
  <c r="D50" i="13" l="1"/>
  <c r="D50" i="14"/>
  <c r="G74" i="13"/>
  <c r="G74" i="14"/>
  <c r="D44" i="13"/>
  <c r="D44" i="14"/>
  <c r="C41" i="14"/>
  <c r="D5" i="12"/>
  <c r="C41" i="13"/>
  <c r="D45" i="14"/>
  <c r="D45" i="13"/>
  <c r="C119" i="14"/>
  <c r="C119" i="13"/>
  <c r="D48" i="13"/>
  <c r="D48" i="14"/>
  <c r="E51" i="14"/>
  <c r="E51" i="13"/>
  <c r="C45" i="14"/>
  <c r="C45" i="13"/>
  <c r="D9" i="12"/>
  <c r="D49" i="14"/>
  <c r="D49" i="13"/>
  <c r="C44" i="14"/>
  <c r="C44" i="13"/>
  <c r="D8" i="12"/>
  <c r="E130" i="14"/>
  <c r="E130" i="13"/>
  <c r="E217" i="11"/>
  <c r="V14" i="7"/>
  <c r="F75" i="14"/>
  <c r="F75" i="13"/>
  <c r="Q363" i="11"/>
  <c r="E199" i="11"/>
  <c r="E380" i="11"/>
  <c r="N42" i="5"/>
  <c r="M42" i="5"/>
  <c r="N43" i="5"/>
  <c r="M43" i="5"/>
  <c r="F49" i="13"/>
  <c r="F49" i="14"/>
  <c r="B373" i="11"/>
  <c r="S4" i="7"/>
  <c r="S361" i="11"/>
  <c r="R362" i="11"/>
  <c r="Q360" i="11"/>
  <c r="V14" i="10"/>
  <c r="AA14" i="10" s="1"/>
  <c r="G23" i="14"/>
  <c r="G23" i="13"/>
  <c r="N20" i="5"/>
  <c r="M20" i="5"/>
  <c r="W7" i="10"/>
  <c r="F46" i="14"/>
  <c r="F46" i="13"/>
  <c r="G78" i="13"/>
  <c r="G78" i="14"/>
  <c r="B46" i="14"/>
  <c r="C10" i="12"/>
  <c r="B46" i="13"/>
  <c r="S11" i="10"/>
  <c r="U9" i="10"/>
  <c r="B97" i="11"/>
  <c r="B383" i="11"/>
  <c r="S14" i="7"/>
  <c r="B112" i="11"/>
  <c r="Y8" i="10"/>
  <c r="F378" i="11"/>
  <c r="F242" i="11"/>
  <c r="F257" i="11"/>
  <c r="W9" i="7"/>
  <c r="D381" i="11"/>
  <c r="D185" i="11"/>
  <c r="U12" i="7"/>
  <c r="D170" i="11"/>
  <c r="T10" i="10"/>
  <c r="X9" i="10"/>
  <c r="X13" i="7"/>
  <c r="B16" i="15"/>
  <c r="O140" i="14"/>
  <c r="O140" i="13"/>
  <c r="E118" i="13"/>
  <c r="B21" i="12"/>
  <c r="E118" i="14"/>
  <c r="S364" i="11"/>
  <c r="C365" i="11"/>
  <c r="O365" i="11" s="1"/>
  <c r="S358" i="11"/>
  <c r="R364" i="11"/>
  <c r="F377" i="11"/>
  <c r="F241" i="11"/>
  <c r="F256" i="11"/>
  <c r="W8" i="7"/>
  <c r="G79" i="13"/>
  <c r="G79" i="14"/>
  <c r="S13" i="10"/>
  <c r="B375" i="11"/>
  <c r="B357" i="11"/>
  <c r="O357" i="11" s="1"/>
  <c r="B89" i="11"/>
  <c r="S6" i="7"/>
  <c r="B104" i="11"/>
  <c r="Y15" i="10"/>
  <c r="F384" i="11"/>
  <c r="F248" i="11"/>
  <c r="F263" i="11"/>
  <c r="W15" i="7"/>
  <c r="D382" i="11"/>
  <c r="U13" i="7"/>
  <c r="D171" i="11"/>
  <c r="D186" i="11"/>
  <c r="V7" i="7"/>
  <c r="E210" i="11"/>
  <c r="C63" i="14"/>
  <c r="C342" i="11"/>
  <c r="C63" i="13"/>
  <c r="C327" i="11"/>
  <c r="C312" i="11"/>
  <c r="B282" i="11"/>
  <c r="C168" i="11"/>
  <c r="C183" i="11"/>
  <c r="C258" i="11"/>
  <c r="C93" i="11"/>
  <c r="C108" i="11"/>
  <c r="C198" i="11"/>
  <c r="C243" i="11"/>
  <c r="C228" i="11"/>
  <c r="C78" i="11"/>
  <c r="C153" i="11"/>
  <c r="C213" i="11"/>
  <c r="C8" i="8"/>
  <c r="F73" i="14"/>
  <c r="F73" i="13"/>
  <c r="Z7" i="10"/>
  <c r="N44" i="5"/>
  <c r="M44" i="5"/>
  <c r="E122" i="14"/>
  <c r="E122" i="13"/>
  <c r="S362" i="11"/>
  <c r="Q361" i="11"/>
  <c r="U361" i="11" s="1"/>
  <c r="V361" i="11" s="1"/>
  <c r="N357" i="11"/>
  <c r="G75" i="14"/>
  <c r="G75" i="13"/>
  <c r="B113" i="11"/>
  <c r="S15" i="7"/>
  <c r="B384" i="11"/>
  <c r="B98" i="11"/>
  <c r="B366" i="11"/>
  <c r="O366" i="11" s="1"/>
  <c r="S9" i="10"/>
  <c r="B40" i="14"/>
  <c r="B40" i="13"/>
  <c r="C4" i="12"/>
  <c r="U6" i="10"/>
  <c r="B378" i="11"/>
  <c r="B92" i="11"/>
  <c r="B107" i="11"/>
  <c r="S9" i="7"/>
  <c r="F379" i="11"/>
  <c r="F258" i="11"/>
  <c r="F243" i="11"/>
  <c r="W10" i="7"/>
  <c r="T8" i="10"/>
  <c r="V15" i="10"/>
  <c r="X4" i="7"/>
  <c r="F64" i="13"/>
  <c r="F64" i="14"/>
  <c r="E324" i="11"/>
  <c r="F180" i="11"/>
  <c r="F210" i="11"/>
  <c r="F75" i="11"/>
  <c r="E279" i="11"/>
  <c r="F195" i="11"/>
  <c r="E309" i="11"/>
  <c r="F105" i="11"/>
  <c r="F165" i="11"/>
  <c r="F120" i="11"/>
  <c r="E294" i="11"/>
  <c r="F150" i="11"/>
  <c r="F135" i="11"/>
  <c r="F90" i="11"/>
  <c r="F5" i="8"/>
  <c r="M41" i="5"/>
  <c r="N41" i="5"/>
  <c r="B379" i="11"/>
  <c r="B93" i="11"/>
  <c r="S10" i="7"/>
  <c r="B108" i="11"/>
  <c r="B49" i="5"/>
  <c r="L49" i="5" s="1"/>
  <c r="P4" i="5"/>
  <c r="G30" i="14"/>
  <c r="G30" i="13"/>
  <c r="S12" i="10"/>
  <c r="U10" i="10"/>
  <c r="F375" i="11"/>
  <c r="F239" i="11"/>
  <c r="F254" i="11"/>
  <c r="W6" i="7"/>
  <c r="T7" i="10"/>
  <c r="AA7" i="10" s="1"/>
  <c r="F45" i="13"/>
  <c r="F45" i="14"/>
  <c r="M46" i="5"/>
  <c r="N46" i="5"/>
  <c r="E213" i="11"/>
  <c r="V10" i="7"/>
  <c r="F48" i="14"/>
  <c r="F48" i="13"/>
  <c r="E48" i="13"/>
  <c r="E48" i="14"/>
  <c r="B15" i="15"/>
  <c r="O138" i="14"/>
  <c r="O138" i="13"/>
  <c r="M49" i="5"/>
  <c r="F43" i="14"/>
  <c r="F43" i="13"/>
  <c r="G77" i="13"/>
  <c r="G77" i="14"/>
  <c r="W6" i="10"/>
  <c r="C360" i="11"/>
  <c r="O360" i="11" s="1"/>
  <c r="B77" i="11"/>
  <c r="E50" i="13"/>
  <c r="E50" i="14"/>
  <c r="F231" i="11"/>
  <c r="U12" i="10"/>
  <c r="V13" i="10"/>
  <c r="Y9" i="10"/>
  <c r="T6" i="10"/>
  <c r="F42" i="13"/>
  <c r="F42" i="14"/>
  <c r="V13" i="7"/>
  <c r="E216" i="11"/>
  <c r="F81" i="14"/>
  <c r="F81" i="13"/>
  <c r="O25" i="5"/>
  <c r="B43" i="14"/>
  <c r="B43" i="13"/>
  <c r="C7" i="12"/>
  <c r="C376" i="11"/>
  <c r="C395" i="11" s="1"/>
  <c r="C135" i="11"/>
  <c r="T7" i="7"/>
  <c r="D375" i="11"/>
  <c r="D179" i="11"/>
  <c r="D164" i="11"/>
  <c r="U6" i="7"/>
  <c r="S6" i="10"/>
  <c r="P360" i="11"/>
  <c r="V5" i="7"/>
  <c r="B48" i="13"/>
  <c r="B48" i="14"/>
  <c r="C12" i="12"/>
  <c r="O24" i="5"/>
  <c r="G31" i="13"/>
  <c r="G31" i="14"/>
  <c r="E40" i="14"/>
  <c r="E40" i="13"/>
  <c r="S8" i="10"/>
  <c r="U8" i="10"/>
  <c r="F74" i="14"/>
  <c r="F74" i="13"/>
  <c r="G29" i="14"/>
  <c r="G29" i="13"/>
  <c r="Y4" i="10"/>
  <c r="D380" i="11"/>
  <c r="D169" i="11"/>
  <c r="D184" i="11"/>
  <c r="U11" i="7"/>
  <c r="E42" i="13"/>
  <c r="E42" i="14"/>
  <c r="O38" i="5"/>
  <c r="E212" i="11"/>
  <c r="V9" i="7"/>
  <c r="B42" i="14"/>
  <c r="B42" i="13"/>
  <c r="C6" i="12"/>
  <c r="B156" i="14"/>
  <c r="B12" i="16"/>
  <c r="B156" i="13"/>
  <c r="F82" i="14"/>
  <c r="F82" i="13"/>
  <c r="B9" i="9"/>
  <c r="O23" i="5"/>
  <c r="N26" i="5"/>
  <c r="M26" i="5"/>
  <c r="D64" i="14"/>
  <c r="D64" i="13"/>
  <c r="D339" i="11"/>
  <c r="D324" i="11"/>
  <c r="C294" i="11"/>
  <c r="D240" i="11"/>
  <c r="D195" i="11"/>
  <c r="D210" i="11"/>
  <c r="C279" i="11"/>
  <c r="D255" i="11"/>
  <c r="D105" i="11"/>
  <c r="D225" i="11"/>
  <c r="D90" i="11"/>
  <c r="D120" i="11"/>
  <c r="D135" i="11"/>
  <c r="D75" i="11"/>
  <c r="D5" i="8"/>
  <c r="Q359" i="11"/>
  <c r="G76" i="14"/>
  <c r="G76" i="13"/>
  <c r="E126" i="14"/>
  <c r="E126" i="13"/>
  <c r="Q362" i="11"/>
  <c r="E125" i="13"/>
  <c r="E125" i="14"/>
  <c r="S366" i="11"/>
  <c r="C128" i="14"/>
  <c r="C128" i="13"/>
  <c r="M47" i="5"/>
  <c r="N47" i="5"/>
  <c r="D379" i="11"/>
  <c r="D183" i="11"/>
  <c r="D168" i="11"/>
  <c r="U10" i="7"/>
  <c r="G24" i="14"/>
  <c r="G24" i="13"/>
  <c r="W4" i="10"/>
  <c r="N31" i="5"/>
  <c r="M31" i="5"/>
  <c r="V15" i="7"/>
  <c r="E218" i="11"/>
  <c r="F58" i="13"/>
  <c r="E328" i="11"/>
  <c r="E313" i="11"/>
  <c r="F58" i="14"/>
  <c r="F154" i="11"/>
  <c r="F214" i="11"/>
  <c r="F169" i="11"/>
  <c r="F94" i="11"/>
  <c r="E283" i="11"/>
  <c r="F199" i="11"/>
  <c r="F184" i="11"/>
  <c r="F109" i="11"/>
  <c r="F124" i="11"/>
  <c r="E298" i="11"/>
  <c r="F79" i="11"/>
  <c r="F9" i="8"/>
  <c r="F139" i="11"/>
  <c r="C14" i="12"/>
  <c r="B83" i="11"/>
  <c r="C366" i="11"/>
  <c r="B106" i="11"/>
  <c r="S8" i="7"/>
  <c r="B91" i="11"/>
  <c r="B377" i="11"/>
  <c r="S4" i="10"/>
  <c r="U13" i="10"/>
  <c r="D374" i="11"/>
  <c r="U5" i="7"/>
  <c r="E358" i="11"/>
  <c r="P358" i="11" s="1"/>
  <c r="H359" i="11"/>
  <c r="B74" i="11"/>
  <c r="C357" i="11"/>
  <c r="E375" i="11"/>
  <c r="E194" i="11"/>
  <c r="O39" i="5"/>
  <c r="N45" i="5"/>
  <c r="M45" i="5"/>
  <c r="N48" i="5"/>
  <c r="M48" i="5"/>
  <c r="S15" i="10"/>
  <c r="B374" i="11"/>
  <c r="S5" i="7"/>
  <c r="F381" i="11"/>
  <c r="F245" i="11"/>
  <c r="W12" i="7"/>
  <c r="F260" i="11"/>
  <c r="D378" i="11"/>
  <c r="D167" i="11"/>
  <c r="D182" i="11"/>
  <c r="U9" i="7"/>
  <c r="T15" i="10"/>
  <c r="F67" i="14"/>
  <c r="F67" i="13"/>
  <c r="E331" i="11"/>
  <c r="E316" i="11"/>
  <c r="F187" i="11"/>
  <c r="F82" i="11"/>
  <c r="F217" i="11"/>
  <c r="F202" i="11"/>
  <c r="F97" i="11"/>
  <c r="F157" i="11"/>
  <c r="F127" i="11"/>
  <c r="E301" i="11"/>
  <c r="F172" i="11"/>
  <c r="E286" i="11"/>
  <c r="F142" i="11"/>
  <c r="F112" i="11"/>
  <c r="F12" i="8"/>
  <c r="M22" i="5"/>
  <c r="N22" i="5"/>
  <c r="Y8" i="7"/>
  <c r="O29" i="5"/>
  <c r="E215" i="11"/>
  <c r="V12" i="7"/>
  <c r="X8" i="10"/>
  <c r="N23" i="5"/>
  <c r="M23" i="5"/>
  <c r="S360" i="11"/>
  <c r="E123" i="13"/>
  <c r="E123" i="14"/>
  <c r="S5" i="10"/>
  <c r="G73" i="14"/>
  <c r="G73" i="13"/>
  <c r="O48" i="5"/>
  <c r="C11" i="15"/>
  <c r="P136" i="14"/>
  <c r="P136" i="13"/>
  <c r="G21" i="14"/>
  <c r="G21" i="13"/>
  <c r="D41" i="13"/>
  <c r="D41" i="14"/>
  <c r="G35" i="14"/>
  <c r="G35" i="13"/>
  <c r="E362" i="11"/>
  <c r="P362" i="11" s="1"/>
  <c r="C139" i="11"/>
  <c r="C380" i="11"/>
  <c r="T11" i="7"/>
  <c r="P359" i="11"/>
  <c r="R361" i="11"/>
  <c r="P363" i="11"/>
  <c r="F83" i="13"/>
  <c r="F83" i="14"/>
  <c r="D384" i="11"/>
  <c r="D188" i="11"/>
  <c r="D173" i="11"/>
  <c r="U15" i="7"/>
  <c r="B142" i="14"/>
  <c r="B142" i="13"/>
  <c r="O11" i="5"/>
  <c r="E211" i="11"/>
  <c r="V8" i="7"/>
  <c r="E384" i="11"/>
  <c r="E203" i="11"/>
  <c r="E202" i="11"/>
  <c r="E383" i="11"/>
  <c r="K365" i="11"/>
  <c r="W15" i="10"/>
  <c r="C377" i="11"/>
  <c r="T8" i="7"/>
  <c r="C136" i="11"/>
  <c r="G34" i="13"/>
  <c r="G34" i="14"/>
  <c r="M29" i="5"/>
  <c r="F230" i="11"/>
  <c r="F228" i="11"/>
  <c r="S10" i="10"/>
  <c r="O21" i="5"/>
  <c r="B381" i="11"/>
  <c r="B95" i="11"/>
  <c r="B110" i="11"/>
  <c r="S12" i="7"/>
  <c r="B44" i="14"/>
  <c r="C8" i="12"/>
  <c r="B44" i="13"/>
  <c r="Y10" i="10"/>
  <c r="W14" i="10"/>
  <c r="D377" i="11"/>
  <c r="D166" i="11"/>
  <c r="D181" i="11"/>
  <c r="U8" i="7"/>
  <c r="B141" i="14"/>
  <c r="B141" i="13"/>
  <c r="O10" i="5"/>
  <c r="E13" i="16"/>
  <c r="E157" i="14"/>
  <c r="G72" i="14"/>
  <c r="G72" i="13"/>
  <c r="E157" i="13"/>
  <c r="E10" i="9"/>
  <c r="O45" i="5"/>
  <c r="E209" i="11"/>
  <c r="J357" i="11"/>
  <c r="R357" i="11" s="1"/>
  <c r="V6" i="7"/>
  <c r="X11" i="10"/>
  <c r="B136" i="13"/>
  <c r="B136" i="14"/>
  <c r="O5" i="5"/>
  <c r="J365" i="11"/>
  <c r="R365" i="11" s="1"/>
  <c r="B382" i="11"/>
  <c r="B96" i="11"/>
  <c r="B111" i="11"/>
  <c r="B364" i="11"/>
  <c r="O364" i="11" s="1"/>
  <c r="S13" i="7"/>
  <c r="C47" i="13"/>
  <c r="C47" i="14"/>
  <c r="D11" i="12"/>
  <c r="F80" i="14"/>
  <c r="F80" i="13"/>
  <c r="E127" i="13"/>
  <c r="E127" i="14"/>
  <c r="P365" i="11"/>
  <c r="R363" i="11"/>
  <c r="N40" i="5"/>
  <c r="M40" i="5"/>
  <c r="F44" i="14"/>
  <c r="F44" i="13"/>
  <c r="C359" i="11"/>
  <c r="S357" i="11"/>
  <c r="B359" i="11"/>
  <c r="O359" i="11" s="1"/>
  <c r="R358" i="11"/>
  <c r="Q364" i="11"/>
  <c r="F363" i="11"/>
  <c r="G28" i="13"/>
  <c r="G28" i="14"/>
  <c r="C362" i="11"/>
  <c r="O362" i="11" s="1"/>
  <c r="B79" i="11"/>
  <c r="C381" i="11"/>
  <c r="C140" i="11"/>
  <c r="T12" i="7"/>
  <c r="C383" i="11"/>
  <c r="T14" i="7"/>
  <c r="C142" i="11"/>
  <c r="W11" i="10"/>
  <c r="V6" i="10"/>
  <c r="G83" i="14"/>
  <c r="G83" i="13"/>
  <c r="B49" i="14"/>
  <c r="B49" i="13"/>
  <c r="C13" i="12"/>
  <c r="M30" i="5"/>
  <c r="N39" i="5"/>
  <c r="M39" i="5"/>
  <c r="F41" i="14"/>
  <c r="F41" i="13"/>
  <c r="U15" i="10"/>
  <c r="B376" i="11"/>
  <c r="B90" i="11"/>
  <c r="B105" i="11"/>
  <c r="S7" i="7"/>
  <c r="F373" i="11"/>
  <c r="W4" i="7"/>
  <c r="D373" i="11"/>
  <c r="U4" i="7"/>
  <c r="T13" i="10"/>
  <c r="O26" i="5"/>
  <c r="O44" i="5"/>
  <c r="Y15" i="7"/>
  <c r="E214" i="11"/>
  <c r="V11" i="7"/>
  <c r="F79" i="13"/>
  <c r="F79" i="14"/>
  <c r="B135" i="14"/>
  <c r="B135" i="13"/>
  <c r="O4" i="5"/>
  <c r="F374" i="11"/>
  <c r="W5" i="7"/>
  <c r="C56" i="14"/>
  <c r="E8" i="16"/>
  <c r="E152" i="14"/>
  <c r="E152" i="13"/>
  <c r="C56" i="13"/>
  <c r="E5" i="9"/>
  <c r="C382" i="11"/>
  <c r="E364" i="11"/>
  <c r="P364" i="11" s="1"/>
  <c r="C141" i="11"/>
  <c r="T13" i="7"/>
  <c r="D154" i="11"/>
  <c r="S365" i="11"/>
  <c r="C48" i="14"/>
  <c r="C48" i="13"/>
  <c r="D12" i="12"/>
  <c r="L359" i="11"/>
  <c r="S359" i="11" s="1"/>
  <c r="O363" i="11"/>
  <c r="R360" i="11"/>
  <c r="Q365" i="11"/>
  <c r="F359" i="11"/>
  <c r="V8" i="10"/>
  <c r="E378" i="11"/>
  <c r="E197" i="11"/>
  <c r="C358" i="11"/>
  <c r="O358" i="11" s="1"/>
  <c r="B75" i="11"/>
  <c r="W9" i="10"/>
  <c r="C384" i="11"/>
  <c r="C143" i="11"/>
  <c r="T15" i="7"/>
  <c r="C11" i="12"/>
  <c r="G80" i="14"/>
  <c r="G80" i="13"/>
  <c r="O27" i="5"/>
  <c r="T6" i="7"/>
  <c r="N27" i="5"/>
  <c r="M38" i="5"/>
  <c r="N38" i="5"/>
  <c r="F40" i="14"/>
  <c r="F40" i="13"/>
  <c r="U5" i="10"/>
  <c r="B380" i="11"/>
  <c r="B94" i="11"/>
  <c r="B109" i="11"/>
  <c r="S11" i="7"/>
  <c r="Y6" i="10"/>
  <c r="F382" i="11"/>
  <c r="F261" i="11"/>
  <c r="F246" i="11"/>
  <c r="W13" i="7"/>
  <c r="D383" i="11"/>
  <c r="D172" i="11"/>
  <c r="D187" i="11"/>
  <c r="U14" i="7"/>
  <c r="B45" i="13"/>
  <c r="C9" i="12"/>
  <c r="B45" i="14"/>
  <c r="O43" i="5"/>
  <c r="F78" i="14"/>
  <c r="F78" i="13"/>
  <c r="G32" i="14"/>
  <c r="G32" i="13"/>
  <c r="T365" i="11" l="1"/>
  <c r="U365" i="11"/>
  <c r="V365" i="11" s="1"/>
  <c r="U360" i="11"/>
  <c r="V360" i="11" s="1"/>
  <c r="T360" i="11"/>
  <c r="W360" i="11" s="1"/>
  <c r="AC14" i="10"/>
  <c r="AB14" i="10"/>
  <c r="U362" i="11"/>
  <c r="V362" i="11" s="1"/>
  <c r="T362" i="11"/>
  <c r="W362" i="11" s="1"/>
  <c r="AC7" i="10"/>
  <c r="AB7" i="10"/>
  <c r="U358" i="11"/>
  <c r="V358" i="11" s="1"/>
  <c r="T358" i="11"/>
  <c r="U363" i="11"/>
  <c r="V363" i="11" s="1"/>
  <c r="T363" i="11"/>
  <c r="W363" i="11" s="1"/>
  <c r="E46" i="14"/>
  <c r="E46" i="13"/>
  <c r="B64" i="13"/>
  <c r="B64" i="14"/>
  <c r="B339" i="11"/>
  <c r="B309" i="11"/>
  <c r="B324" i="11"/>
  <c r="B195" i="11"/>
  <c r="B294" i="11"/>
  <c r="B165" i="11"/>
  <c r="B180" i="11"/>
  <c r="B240" i="11"/>
  <c r="B135" i="11"/>
  <c r="B255" i="11"/>
  <c r="B150" i="11"/>
  <c r="B42" i="11"/>
  <c r="B225" i="11"/>
  <c r="B120" i="11"/>
  <c r="B210" i="11"/>
  <c r="AA7" i="7"/>
  <c r="B5" i="8"/>
  <c r="Z7" i="7"/>
  <c r="D65" i="14"/>
  <c r="D65" i="13"/>
  <c r="D325" i="11"/>
  <c r="D256" i="11"/>
  <c r="C280" i="11"/>
  <c r="D196" i="11"/>
  <c r="D340" i="11"/>
  <c r="D76" i="11"/>
  <c r="D91" i="11"/>
  <c r="D211" i="11"/>
  <c r="D136" i="11"/>
  <c r="D241" i="11"/>
  <c r="D106" i="11"/>
  <c r="C295" i="11"/>
  <c r="D226" i="11"/>
  <c r="D121" i="11"/>
  <c r="D6" i="8"/>
  <c r="C62" i="14"/>
  <c r="C62" i="13"/>
  <c r="C239" i="11"/>
  <c r="C179" i="11"/>
  <c r="C338" i="11"/>
  <c r="C224" i="11"/>
  <c r="C308" i="11"/>
  <c r="C254" i="11"/>
  <c r="B278" i="11"/>
  <c r="C323" i="11"/>
  <c r="C209" i="11"/>
  <c r="C4" i="8"/>
  <c r="C74" i="11"/>
  <c r="C164" i="11"/>
  <c r="C89" i="11"/>
  <c r="C149" i="11"/>
  <c r="C104" i="11"/>
  <c r="C194" i="11"/>
  <c r="B60" i="13"/>
  <c r="B60" i="14"/>
  <c r="B330" i="11"/>
  <c r="B300" i="11"/>
  <c r="B186" i="11"/>
  <c r="B246" i="11"/>
  <c r="B171" i="11"/>
  <c r="B231" i="11"/>
  <c r="B315" i="11"/>
  <c r="B261" i="11"/>
  <c r="B345" i="11"/>
  <c r="B216" i="11"/>
  <c r="B141" i="11"/>
  <c r="B48" i="11"/>
  <c r="B156" i="11"/>
  <c r="B201" i="11"/>
  <c r="B126" i="11"/>
  <c r="AA13" i="7"/>
  <c r="Z13" i="7"/>
  <c r="B11" i="8"/>
  <c r="AA15" i="10"/>
  <c r="Z15" i="10"/>
  <c r="B10" i="16"/>
  <c r="B154" i="14"/>
  <c r="B154" i="13"/>
  <c r="E66" i="13"/>
  <c r="D317" i="11"/>
  <c r="E263" i="11"/>
  <c r="E158" i="11"/>
  <c r="E248" i="11"/>
  <c r="E188" i="11"/>
  <c r="E143" i="11"/>
  <c r="E66" i="14"/>
  <c r="E233" i="11"/>
  <c r="D287" i="11"/>
  <c r="E347" i="11"/>
  <c r="E98" i="11"/>
  <c r="B7" i="9"/>
  <c r="E113" i="11"/>
  <c r="E128" i="11"/>
  <c r="D302" i="11"/>
  <c r="E83" i="11"/>
  <c r="E173" i="11"/>
  <c r="E13" i="8"/>
  <c r="D10" i="12"/>
  <c r="C46" i="14"/>
  <c r="C46" i="13"/>
  <c r="D395" i="11"/>
  <c r="D394" i="11"/>
  <c r="F51" i="14"/>
  <c r="F51" i="13"/>
  <c r="G384" i="11"/>
  <c r="H384" i="11"/>
  <c r="D40" i="14"/>
  <c r="D40" i="13"/>
  <c r="G44" i="13"/>
  <c r="G44" i="14"/>
  <c r="G40" i="14"/>
  <c r="G40" i="13"/>
  <c r="H376" i="11"/>
  <c r="G376" i="11"/>
  <c r="C49" i="14"/>
  <c r="C49" i="13"/>
  <c r="D13" i="12"/>
  <c r="O142" i="14"/>
  <c r="O142" i="13"/>
  <c r="B9" i="15"/>
  <c r="Z5" i="10"/>
  <c r="AA5" i="10"/>
  <c r="B57" i="14"/>
  <c r="B57" i="13"/>
  <c r="AA5" i="7"/>
  <c r="Z5" i="7"/>
  <c r="E47" i="14"/>
  <c r="E47" i="13"/>
  <c r="B13" i="16"/>
  <c r="G82" i="14"/>
  <c r="G82" i="13"/>
  <c r="B157" i="13"/>
  <c r="B157" i="14"/>
  <c r="B10" i="9"/>
  <c r="C61" i="14"/>
  <c r="C344" i="11"/>
  <c r="C314" i="11"/>
  <c r="C230" i="11"/>
  <c r="C61" i="13"/>
  <c r="C170" i="11"/>
  <c r="B284" i="11"/>
  <c r="C215" i="11"/>
  <c r="C185" i="11"/>
  <c r="C245" i="11"/>
  <c r="C200" i="11"/>
  <c r="C329" i="11"/>
  <c r="C80" i="11"/>
  <c r="C95" i="11"/>
  <c r="C260" i="11"/>
  <c r="C110" i="11"/>
  <c r="C10" i="8"/>
  <c r="C155" i="11"/>
  <c r="U364" i="11"/>
  <c r="V364" i="11" s="1"/>
  <c r="T364" i="11"/>
  <c r="W364" i="11" s="1"/>
  <c r="D66" i="14"/>
  <c r="B9" i="16"/>
  <c r="B153" i="13"/>
  <c r="B153" i="14"/>
  <c r="D347" i="11"/>
  <c r="D248" i="11"/>
  <c r="D66" i="13"/>
  <c r="D233" i="11"/>
  <c r="D143" i="11"/>
  <c r="D98" i="11"/>
  <c r="D263" i="11"/>
  <c r="C287" i="11"/>
  <c r="D113" i="11"/>
  <c r="D128" i="11"/>
  <c r="D218" i="11"/>
  <c r="D332" i="11"/>
  <c r="D203" i="11"/>
  <c r="D13" i="8"/>
  <c r="C302" i="11"/>
  <c r="B6" i="9"/>
  <c r="D83" i="11"/>
  <c r="G50" i="14"/>
  <c r="G50" i="13"/>
  <c r="C51" i="14"/>
  <c r="D15" i="12"/>
  <c r="C51" i="13"/>
  <c r="D46" i="14"/>
  <c r="D46" i="13"/>
  <c r="C64" i="14"/>
  <c r="C64" i="13"/>
  <c r="C339" i="11"/>
  <c r="C255" i="11"/>
  <c r="B279" i="11"/>
  <c r="C324" i="11"/>
  <c r="C195" i="11"/>
  <c r="C165" i="11"/>
  <c r="C240" i="11"/>
  <c r="C180" i="11"/>
  <c r="C210" i="11"/>
  <c r="C90" i="11"/>
  <c r="C309" i="11"/>
  <c r="C150" i="11"/>
  <c r="C105" i="11"/>
  <c r="H105" i="11" s="1"/>
  <c r="I105" i="11" s="1"/>
  <c r="C225" i="11"/>
  <c r="C75" i="11"/>
  <c r="H75" i="11" s="1"/>
  <c r="I75" i="11" s="1"/>
  <c r="C5" i="8"/>
  <c r="G48" i="14"/>
  <c r="G48" i="13"/>
  <c r="B151" i="14"/>
  <c r="B151" i="13"/>
  <c r="B66" i="13"/>
  <c r="B7" i="16"/>
  <c r="B347" i="11"/>
  <c r="B317" i="11"/>
  <c r="B66" i="14"/>
  <c r="B233" i="11"/>
  <c r="B218" i="11"/>
  <c r="B128" i="11"/>
  <c r="B50" i="11"/>
  <c r="B188" i="11"/>
  <c r="B143" i="11"/>
  <c r="B332" i="11"/>
  <c r="B248" i="11"/>
  <c r="B158" i="11"/>
  <c r="B302" i="11"/>
  <c r="B203" i="11"/>
  <c r="B173" i="11"/>
  <c r="B4" i="9"/>
  <c r="B263" i="11"/>
  <c r="B13" i="8"/>
  <c r="AA15" i="7"/>
  <c r="Z15" i="7"/>
  <c r="G41" i="14"/>
  <c r="G41" i="13"/>
  <c r="G42" i="14"/>
  <c r="G42" i="13"/>
  <c r="C127" i="13"/>
  <c r="C127" i="14"/>
  <c r="C65" i="14"/>
  <c r="C65" i="13"/>
  <c r="C325" i="11"/>
  <c r="C211" i="11"/>
  <c r="C256" i="11"/>
  <c r="C226" i="11"/>
  <c r="C151" i="11"/>
  <c r="C181" i="11"/>
  <c r="C76" i="11"/>
  <c r="C340" i="11"/>
  <c r="B280" i="11"/>
  <c r="C310" i="11"/>
  <c r="C196" i="11"/>
  <c r="C91" i="11"/>
  <c r="C241" i="11"/>
  <c r="C166" i="11"/>
  <c r="C106" i="11"/>
  <c r="H106" i="11" s="1"/>
  <c r="I106" i="11" s="1"/>
  <c r="C6" i="8"/>
  <c r="Z4" i="10"/>
  <c r="AA4" i="10"/>
  <c r="D51" i="14"/>
  <c r="D51" i="13"/>
  <c r="E43" i="14"/>
  <c r="E43" i="13"/>
  <c r="B63" i="13"/>
  <c r="B63" i="14"/>
  <c r="B312" i="11"/>
  <c r="B327" i="11"/>
  <c r="B168" i="11"/>
  <c r="B183" i="11"/>
  <c r="B342" i="11"/>
  <c r="B297" i="11"/>
  <c r="B258" i="11"/>
  <c r="B138" i="11"/>
  <c r="AA10" i="7"/>
  <c r="B198" i="11"/>
  <c r="Z10" i="7"/>
  <c r="B243" i="11"/>
  <c r="B228" i="11"/>
  <c r="B153" i="11"/>
  <c r="B45" i="11"/>
  <c r="B213" i="11"/>
  <c r="B123" i="11"/>
  <c r="B8" i="8"/>
  <c r="AA11" i="10"/>
  <c r="Z11" i="10"/>
  <c r="D121" i="14"/>
  <c r="D121" i="13"/>
  <c r="D119" i="14"/>
  <c r="D119" i="13"/>
  <c r="C43" i="13"/>
  <c r="C43" i="14"/>
  <c r="D7" i="12"/>
  <c r="G47" i="13"/>
  <c r="G47" i="14"/>
  <c r="H93" i="11"/>
  <c r="I93" i="11" s="1"/>
  <c r="D43" i="13"/>
  <c r="D43" i="14"/>
  <c r="E44" i="14"/>
  <c r="E44" i="13"/>
  <c r="C126" i="14"/>
  <c r="C126" i="13"/>
  <c r="Z14" i="10"/>
  <c r="AD14" i="10" s="1"/>
  <c r="G51" i="13"/>
  <c r="G51" i="14"/>
  <c r="H379" i="11"/>
  <c r="G379" i="11"/>
  <c r="G107" i="11"/>
  <c r="B62" i="13"/>
  <c r="B62" i="14"/>
  <c r="B338" i="11"/>
  <c r="B308" i="11"/>
  <c r="B224" i="11"/>
  <c r="B293" i="11"/>
  <c r="B179" i="11"/>
  <c r="B239" i="11"/>
  <c r="B119" i="11"/>
  <c r="B194" i="11"/>
  <c r="Z6" i="7"/>
  <c r="B4" i="8"/>
  <c r="B134" i="11"/>
  <c r="B323" i="11"/>
  <c r="B164" i="11"/>
  <c r="B209" i="11"/>
  <c r="B254" i="11"/>
  <c r="B41" i="11"/>
  <c r="B149" i="11"/>
  <c r="AA6" i="7"/>
  <c r="D58" i="14"/>
  <c r="D58" i="13"/>
  <c r="D328" i="11"/>
  <c r="D343" i="11"/>
  <c r="C298" i="11"/>
  <c r="D259" i="11"/>
  <c r="D199" i="11"/>
  <c r="D244" i="11"/>
  <c r="D214" i="11"/>
  <c r="D94" i="11"/>
  <c r="D229" i="11"/>
  <c r="D79" i="11"/>
  <c r="C283" i="11"/>
  <c r="D9" i="8"/>
  <c r="D109" i="11"/>
  <c r="D124" i="11"/>
  <c r="D139" i="11"/>
  <c r="D61" i="14"/>
  <c r="D329" i="11"/>
  <c r="D61" i="13"/>
  <c r="C284" i="11"/>
  <c r="D215" i="11"/>
  <c r="D245" i="11"/>
  <c r="D260" i="11"/>
  <c r="D200" i="11"/>
  <c r="D110" i="11"/>
  <c r="G110" i="11" s="1"/>
  <c r="J110" i="11" s="1"/>
  <c r="D230" i="11"/>
  <c r="D125" i="11"/>
  <c r="D344" i="11"/>
  <c r="C299" i="11"/>
  <c r="D80" i="11"/>
  <c r="D140" i="11"/>
  <c r="D95" i="11"/>
  <c r="H95" i="11" s="1"/>
  <c r="I95" i="11" s="1"/>
  <c r="D10" i="8"/>
  <c r="B58" i="13"/>
  <c r="B328" i="11"/>
  <c r="B298" i="11"/>
  <c r="B58" i="14"/>
  <c r="B259" i="11"/>
  <c r="B343" i="11"/>
  <c r="B313" i="11"/>
  <c r="B229" i="11"/>
  <c r="B154" i="11"/>
  <c r="B244" i="11"/>
  <c r="B139" i="11"/>
  <c r="B9" i="8"/>
  <c r="B184" i="11"/>
  <c r="B46" i="11"/>
  <c r="B214" i="11"/>
  <c r="B124" i="11"/>
  <c r="B199" i="11"/>
  <c r="B169" i="11"/>
  <c r="AA11" i="7"/>
  <c r="Z11" i="7"/>
  <c r="C120" i="14"/>
  <c r="C120" i="13"/>
  <c r="C50" i="13"/>
  <c r="C50" i="14"/>
  <c r="D14" i="12"/>
  <c r="H109" i="11"/>
  <c r="I109" i="11" s="1"/>
  <c r="D123" i="14"/>
  <c r="D123" i="13"/>
  <c r="C122" i="13"/>
  <c r="C122" i="14"/>
  <c r="B65" i="13"/>
  <c r="B325" i="11"/>
  <c r="B211" i="11"/>
  <c r="B65" i="14"/>
  <c r="B256" i="11"/>
  <c r="B226" i="11"/>
  <c r="B43" i="11"/>
  <c r="B310" i="11"/>
  <c r="B181" i="11"/>
  <c r="B121" i="11"/>
  <c r="B151" i="11"/>
  <c r="B340" i="11"/>
  <c r="B136" i="11"/>
  <c r="B196" i="11"/>
  <c r="AA8" i="7"/>
  <c r="Z8" i="7"/>
  <c r="B241" i="11"/>
  <c r="B6" i="8"/>
  <c r="B295" i="11"/>
  <c r="B166" i="11"/>
  <c r="C123" i="14"/>
  <c r="C123" i="13"/>
  <c r="F62" i="13"/>
  <c r="E323" i="11"/>
  <c r="E293" i="11"/>
  <c r="E308" i="11"/>
  <c r="E278" i="11"/>
  <c r="F62" i="14"/>
  <c r="F149" i="11"/>
  <c r="F209" i="11"/>
  <c r="F194" i="11"/>
  <c r="F74" i="11"/>
  <c r="F134" i="11"/>
  <c r="F164" i="11"/>
  <c r="F89" i="11"/>
  <c r="H89" i="11" s="1"/>
  <c r="I89" i="11" s="1"/>
  <c r="F104" i="11"/>
  <c r="F179" i="11"/>
  <c r="F119" i="11"/>
  <c r="F4" i="8"/>
  <c r="H377" i="11"/>
  <c r="G377" i="11"/>
  <c r="B59" i="13"/>
  <c r="B59" i="14"/>
  <c r="B341" i="11"/>
  <c r="B311" i="11"/>
  <c r="B296" i="11"/>
  <c r="B227" i="11"/>
  <c r="B182" i="11"/>
  <c r="B242" i="11"/>
  <c r="B122" i="11"/>
  <c r="B212" i="11"/>
  <c r="B44" i="11"/>
  <c r="B152" i="11"/>
  <c r="B197" i="11"/>
  <c r="B137" i="11"/>
  <c r="B7" i="8"/>
  <c r="B326" i="11"/>
  <c r="B257" i="11"/>
  <c r="B167" i="11"/>
  <c r="AA9" i="7"/>
  <c r="Z9" i="7"/>
  <c r="D59" i="14"/>
  <c r="D59" i="13"/>
  <c r="D341" i="11"/>
  <c r="D326" i="11"/>
  <c r="D242" i="11"/>
  <c r="C296" i="11"/>
  <c r="D212" i="11"/>
  <c r="D227" i="11"/>
  <c r="C281" i="11"/>
  <c r="D197" i="11"/>
  <c r="D122" i="11"/>
  <c r="D92" i="11"/>
  <c r="G92" i="11" s="1"/>
  <c r="D107" i="11"/>
  <c r="D257" i="11"/>
  <c r="D137" i="11"/>
  <c r="D7" i="8"/>
  <c r="D77" i="11"/>
  <c r="H77" i="11" s="1"/>
  <c r="I77" i="11" s="1"/>
  <c r="H91" i="11"/>
  <c r="I91" i="11" s="1"/>
  <c r="G91" i="11"/>
  <c r="J91" i="11" s="1"/>
  <c r="C66" i="14"/>
  <c r="B8" i="16"/>
  <c r="B152" i="14"/>
  <c r="C66" i="13"/>
  <c r="B152" i="13"/>
  <c r="C347" i="11"/>
  <c r="C317" i="11"/>
  <c r="B287" i="11"/>
  <c r="C233" i="11"/>
  <c r="C218" i="11"/>
  <c r="C188" i="11"/>
  <c r="C332" i="11"/>
  <c r="C263" i="11"/>
  <c r="C248" i="11"/>
  <c r="C158" i="11"/>
  <c r="C83" i="11"/>
  <c r="H83" i="11" s="1"/>
  <c r="I83" i="11" s="1"/>
  <c r="C98" i="11"/>
  <c r="H98" i="11" s="1"/>
  <c r="I98" i="11" s="1"/>
  <c r="C113" i="11"/>
  <c r="G113" i="11" s="1"/>
  <c r="J113" i="11" s="1"/>
  <c r="C203" i="11"/>
  <c r="C13" i="8"/>
  <c r="C173" i="11"/>
  <c r="B5" i="9"/>
  <c r="E9" i="16"/>
  <c r="E153" i="14"/>
  <c r="D56" i="14"/>
  <c r="E153" i="13"/>
  <c r="D56" i="13"/>
  <c r="E6" i="9"/>
  <c r="F57" i="14"/>
  <c r="F57" i="13"/>
  <c r="O136" i="14"/>
  <c r="B11" i="15"/>
  <c r="O136" i="13"/>
  <c r="B7" i="15"/>
  <c r="O141" i="14"/>
  <c r="O141" i="13"/>
  <c r="G106" i="11"/>
  <c r="D63" i="14"/>
  <c r="D342" i="11"/>
  <c r="D63" i="13"/>
  <c r="C282" i="11"/>
  <c r="G282" i="11" s="1"/>
  <c r="H282" i="11" s="1"/>
  <c r="D327" i="11"/>
  <c r="D78" i="11"/>
  <c r="G78" i="11" s="1"/>
  <c r="D258" i="11"/>
  <c r="D198" i="11"/>
  <c r="D138" i="11"/>
  <c r="D108" i="11"/>
  <c r="H108" i="11" s="1"/>
  <c r="I108" i="11" s="1"/>
  <c r="D243" i="11"/>
  <c r="D228" i="11"/>
  <c r="D93" i="11"/>
  <c r="G93" i="11" s="1"/>
  <c r="J93" i="11" s="1"/>
  <c r="C297" i="11"/>
  <c r="D213" i="11"/>
  <c r="D123" i="11"/>
  <c r="D8" i="8"/>
  <c r="G43" i="14"/>
  <c r="G43" i="13"/>
  <c r="H378" i="11"/>
  <c r="G378" i="11"/>
  <c r="U357" i="11"/>
  <c r="V357" i="11" s="1"/>
  <c r="T357" i="11"/>
  <c r="W357" i="11" s="1"/>
  <c r="F59" i="14"/>
  <c r="F59" i="13"/>
  <c r="E326" i="11"/>
  <c r="F212" i="11"/>
  <c r="F107" i="11"/>
  <c r="H107" i="11" s="1"/>
  <c r="I107" i="11" s="1"/>
  <c r="F152" i="11"/>
  <c r="E281" i="11"/>
  <c r="F197" i="11"/>
  <c r="F167" i="11"/>
  <c r="E296" i="11"/>
  <c r="F77" i="11"/>
  <c r="E311" i="11"/>
  <c r="F122" i="11"/>
  <c r="F182" i="11"/>
  <c r="F92" i="11"/>
  <c r="F137" i="11"/>
  <c r="F7" i="8"/>
  <c r="C125" i="14"/>
  <c r="C125" i="13"/>
  <c r="B344" i="11"/>
  <c r="B61" i="14"/>
  <c r="B314" i="11"/>
  <c r="B329" i="11"/>
  <c r="B61" i="13"/>
  <c r="B230" i="11"/>
  <c r="B125" i="11"/>
  <c r="B260" i="11"/>
  <c r="B200" i="11"/>
  <c r="B299" i="11"/>
  <c r="B170" i="11"/>
  <c r="B245" i="11"/>
  <c r="B140" i="11"/>
  <c r="B185" i="11"/>
  <c r="B47" i="11"/>
  <c r="B215" i="11"/>
  <c r="B10" i="8"/>
  <c r="AA12" i="7"/>
  <c r="Z12" i="7"/>
  <c r="B155" i="11"/>
  <c r="C121" i="14"/>
  <c r="C121" i="13"/>
  <c r="H380" i="11"/>
  <c r="G380" i="11"/>
  <c r="F56" i="13"/>
  <c r="E11" i="16"/>
  <c r="E155" i="14"/>
  <c r="F56" i="14"/>
  <c r="E155" i="13"/>
  <c r="E8" i="9"/>
  <c r="H381" i="11"/>
  <c r="G381" i="11"/>
  <c r="E45" i="13"/>
  <c r="E45" i="14"/>
  <c r="E64" i="13"/>
  <c r="E64" i="14"/>
  <c r="E339" i="11"/>
  <c r="D279" i="11"/>
  <c r="D294" i="11"/>
  <c r="E135" i="11"/>
  <c r="E180" i="11"/>
  <c r="D309" i="11"/>
  <c r="E255" i="11"/>
  <c r="E105" i="11"/>
  <c r="E165" i="11"/>
  <c r="E240" i="11"/>
  <c r="E225" i="11"/>
  <c r="E90" i="11"/>
  <c r="E120" i="11"/>
  <c r="E150" i="11"/>
  <c r="E75" i="11"/>
  <c r="E5" i="8"/>
  <c r="G375" i="11"/>
  <c r="B395" i="11"/>
  <c r="B396" i="11" s="1"/>
  <c r="B394" i="11"/>
  <c r="H375" i="11"/>
  <c r="E67" i="14"/>
  <c r="E142" i="11"/>
  <c r="D316" i="11"/>
  <c r="E262" i="11"/>
  <c r="E67" i="13"/>
  <c r="E157" i="11"/>
  <c r="D286" i="11"/>
  <c r="E172" i="11"/>
  <c r="D301" i="11"/>
  <c r="E232" i="11"/>
  <c r="E247" i="11"/>
  <c r="E187" i="11"/>
  <c r="E97" i="11"/>
  <c r="E127" i="11"/>
  <c r="E82" i="11"/>
  <c r="E12" i="8"/>
  <c r="E112" i="11"/>
  <c r="E346" i="11"/>
  <c r="H382" i="11"/>
  <c r="G382" i="11"/>
  <c r="E395" i="11"/>
  <c r="E394" i="11"/>
  <c r="O135" i="14"/>
  <c r="O135" i="13"/>
  <c r="B14" i="15"/>
  <c r="O15" i="5"/>
  <c r="E41" i="13"/>
  <c r="E41" i="14"/>
  <c r="E61" i="14"/>
  <c r="D314" i="11"/>
  <c r="E61" i="13"/>
  <c r="D299" i="11"/>
  <c r="E245" i="11"/>
  <c r="E260" i="11"/>
  <c r="E140" i="11"/>
  <c r="E155" i="11"/>
  <c r="E185" i="11"/>
  <c r="D284" i="11"/>
  <c r="E125" i="11"/>
  <c r="E344" i="11"/>
  <c r="E230" i="11"/>
  <c r="E80" i="11"/>
  <c r="E95" i="11"/>
  <c r="E170" i="11"/>
  <c r="E110" i="11"/>
  <c r="H110" i="11" s="1"/>
  <c r="I110" i="11" s="1"/>
  <c r="E10" i="8"/>
  <c r="E57" i="14"/>
  <c r="E57" i="13"/>
  <c r="F395" i="11"/>
  <c r="F394" i="11"/>
  <c r="C118" i="14"/>
  <c r="C118" i="13"/>
  <c r="AA13" i="10"/>
  <c r="Z13" i="10"/>
  <c r="B56" i="13"/>
  <c r="E7" i="16"/>
  <c r="E151" i="14"/>
  <c r="B56" i="14"/>
  <c r="E151" i="13"/>
  <c r="Z4" i="7"/>
  <c r="E4" i="9"/>
  <c r="AA4" i="7"/>
  <c r="T361" i="11"/>
  <c r="W361" i="11" s="1"/>
  <c r="AA10" i="10"/>
  <c r="Z10" i="10"/>
  <c r="F61" i="14"/>
  <c r="F61" i="13"/>
  <c r="E314" i="11"/>
  <c r="E299" i="11"/>
  <c r="E284" i="11"/>
  <c r="F155" i="11"/>
  <c r="F185" i="11"/>
  <c r="F125" i="11"/>
  <c r="E329" i="11"/>
  <c r="F80" i="11"/>
  <c r="F215" i="11"/>
  <c r="F95" i="11"/>
  <c r="F140" i="11"/>
  <c r="F200" i="11"/>
  <c r="F170" i="11"/>
  <c r="F110" i="11"/>
  <c r="F10" i="8"/>
  <c r="C129" i="14"/>
  <c r="C129" i="13"/>
  <c r="B18" i="12"/>
  <c r="C124" i="14"/>
  <c r="C124" i="13"/>
  <c r="C394" i="11"/>
  <c r="H373" i="11"/>
  <c r="G373" i="11"/>
  <c r="D67" i="14"/>
  <c r="D331" i="11"/>
  <c r="D346" i="11"/>
  <c r="C301" i="11"/>
  <c r="D202" i="11"/>
  <c r="C286" i="11"/>
  <c r="D217" i="11"/>
  <c r="D232" i="11"/>
  <c r="D82" i="11"/>
  <c r="D247" i="11"/>
  <c r="D67" i="13"/>
  <c r="D127" i="11"/>
  <c r="D262" i="11"/>
  <c r="D97" i="11"/>
  <c r="D142" i="11"/>
  <c r="D12" i="8"/>
  <c r="D112" i="11"/>
  <c r="G105" i="11"/>
  <c r="E62" i="13"/>
  <c r="E62" i="14"/>
  <c r="E224" i="11"/>
  <c r="E239" i="11"/>
  <c r="E134" i="11"/>
  <c r="D293" i="11"/>
  <c r="E149" i="11"/>
  <c r="E119" i="11"/>
  <c r="E4" i="8"/>
  <c r="D308" i="11"/>
  <c r="E74" i="11"/>
  <c r="E164" i="11"/>
  <c r="E89" i="11"/>
  <c r="E338" i="11"/>
  <c r="E104" i="11"/>
  <c r="H104" i="11" s="1"/>
  <c r="I104" i="11" s="1"/>
  <c r="E179" i="11"/>
  <c r="D278" i="11"/>
  <c r="E254" i="11"/>
  <c r="E65" i="14"/>
  <c r="E65" i="13"/>
  <c r="D310" i="11"/>
  <c r="E151" i="11"/>
  <c r="D280" i="11"/>
  <c r="E256" i="11"/>
  <c r="E166" i="11"/>
  <c r="E340" i="11"/>
  <c r="E91" i="11"/>
  <c r="E181" i="11"/>
  <c r="E136" i="11"/>
  <c r="E6" i="8"/>
  <c r="E76" i="11"/>
  <c r="E241" i="11"/>
  <c r="E106" i="11"/>
  <c r="E121" i="11"/>
  <c r="D295" i="11"/>
  <c r="E226" i="11"/>
  <c r="C58" i="14"/>
  <c r="C58" i="13"/>
  <c r="C328" i="11"/>
  <c r="C154" i="11"/>
  <c r="C259" i="11"/>
  <c r="C313" i="11"/>
  <c r="C199" i="11"/>
  <c r="C343" i="11"/>
  <c r="C244" i="11"/>
  <c r="C214" i="11"/>
  <c r="C9" i="8"/>
  <c r="C229" i="11"/>
  <c r="C79" i="11"/>
  <c r="G79" i="11" s="1"/>
  <c r="C169" i="11"/>
  <c r="C94" i="11"/>
  <c r="H94" i="11" s="1"/>
  <c r="I94" i="11" s="1"/>
  <c r="B283" i="11"/>
  <c r="C184" i="11"/>
  <c r="C109" i="11"/>
  <c r="G109" i="11" s="1"/>
  <c r="J109" i="11" s="1"/>
  <c r="E49" i="13"/>
  <c r="E49" i="14"/>
  <c r="AA6" i="10"/>
  <c r="Z6" i="10"/>
  <c r="AA12" i="10"/>
  <c r="Z12" i="10"/>
  <c r="E156" i="14"/>
  <c r="E12" i="16"/>
  <c r="F72" i="13"/>
  <c r="E156" i="13"/>
  <c r="F72" i="14"/>
  <c r="E9" i="9"/>
  <c r="G46" i="14"/>
  <c r="G46" i="13"/>
  <c r="D60" i="14"/>
  <c r="D345" i="11"/>
  <c r="D60" i="13"/>
  <c r="D330" i="11"/>
  <c r="D261" i="11"/>
  <c r="C300" i="11"/>
  <c r="D111" i="11"/>
  <c r="H111" i="11" s="1"/>
  <c r="I111" i="11" s="1"/>
  <c r="D216" i="11"/>
  <c r="D141" i="11"/>
  <c r="D81" i="11"/>
  <c r="D96" i="11"/>
  <c r="G96" i="11" s="1"/>
  <c r="D201" i="11"/>
  <c r="D126" i="11"/>
  <c r="D231" i="11"/>
  <c r="D246" i="11"/>
  <c r="C285" i="11"/>
  <c r="D11" i="8"/>
  <c r="C60" i="14"/>
  <c r="C246" i="11"/>
  <c r="C186" i="11"/>
  <c r="C60" i="13"/>
  <c r="C171" i="11"/>
  <c r="C330" i="11"/>
  <c r="C231" i="11"/>
  <c r="B285" i="11"/>
  <c r="C96" i="11"/>
  <c r="H96" i="11" s="1"/>
  <c r="I96" i="11" s="1"/>
  <c r="C261" i="11"/>
  <c r="C156" i="11"/>
  <c r="C111" i="11"/>
  <c r="C315" i="11"/>
  <c r="C216" i="11"/>
  <c r="C81" i="11"/>
  <c r="C201" i="11"/>
  <c r="C345" i="11"/>
  <c r="C11" i="8"/>
  <c r="G90" i="11"/>
  <c r="H90" i="11"/>
  <c r="I90" i="11" s="1"/>
  <c r="T359" i="11"/>
  <c r="U359" i="11"/>
  <c r="V359" i="11" s="1"/>
  <c r="D120" i="14"/>
  <c r="D120" i="13"/>
  <c r="G81" i="13"/>
  <c r="G81" i="14"/>
  <c r="G49" i="14"/>
  <c r="G49" i="13"/>
  <c r="D62" i="14"/>
  <c r="D62" i="13"/>
  <c r="C293" i="11"/>
  <c r="D338" i="11"/>
  <c r="D224" i="11"/>
  <c r="D239" i="11"/>
  <c r="D119" i="11"/>
  <c r="D254" i="11"/>
  <c r="D323" i="11"/>
  <c r="D209" i="11"/>
  <c r="D194" i="11"/>
  <c r="C278" i="11"/>
  <c r="D4" i="8"/>
  <c r="D134" i="11"/>
  <c r="D74" i="11"/>
  <c r="H74" i="11" s="1"/>
  <c r="I74" i="11" s="1"/>
  <c r="D89" i="11"/>
  <c r="D104" i="11"/>
  <c r="G104" i="11" s="1"/>
  <c r="E60" i="13"/>
  <c r="E60" i="14"/>
  <c r="E345" i="11"/>
  <c r="D285" i="11"/>
  <c r="E126" i="11"/>
  <c r="E231" i="11"/>
  <c r="D315" i="11"/>
  <c r="D300" i="11"/>
  <c r="E11" i="8"/>
  <c r="E261" i="11"/>
  <c r="E156" i="11"/>
  <c r="E111" i="11"/>
  <c r="E141" i="11"/>
  <c r="E96" i="11"/>
  <c r="E171" i="11"/>
  <c r="E246" i="11"/>
  <c r="E186" i="11"/>
  <c r="E81" i="11"/>
  <c r="Z9" i="10"/>
  <c r="AA9" i="10"/>
  <c r="D127" i="13"/>
  <c r="D127" i="14"/>
  <c r="U366" i="11"/>
  <c r="V366" i="11" s="1"/>
  <c r="T366" i="11"/>
  <c r="W366" i="11" s="1"/>
  <c r="AD7" i="10"/>
  <c r="F66" i="13"/>
  <c r="B11" i="16"/>
  <c r="B155" i="14"/>
  <c r="E317" i="11"/>
  <c r="B155" i="13"/>
  <c r="E302" i="11"/>
  <c r="F66" i="14"/>
  <c r="F203" i="11"/>
  <c r="F188" i="11"/>
  <c r="F98" i="11"/>
  <c r="G98" i="11" s="1"/>
  <c r="F158" i="11"/>
  <c r="F143" i="11"/>
  <c r="E287" i="11"/>
  <c r="F173" i="11"/>
  <c r="F128" i="11"/>
  <c r="F83" i="11"/>
  <c r="F113" i="11"/>
  <c r="H113" i="11" s="1"/>
  <c r="I113" i="11" s="1"/>
  <c r="F218" i="11"/>
  <c r="E332" i="11"/>
  <c r="F13" i="8"/>
  <c r="B8" i="9"/>
  <c r="B67" i="14"/>
  <c r="B346" i="11"/>
  <c r="B331" i="11"/>
  <c r="B202" i="11"/>
  <c r="B301" i="11"/>
  <c r="B262" i="11"/>
  <c r="B157" i="11"/>
  <c r="B67" i="13"/>
  <c r="B172" i="11"/>
  <c r="B217" i="11"/>
  <c r="B127" i="11"/>
  <c r="B232" i="11"/>
  <c r="B49" i="11"/>
  <c r="C49" i="11" s="1"/>
  <c r="B12" i="8"/>
  <c r="B247" i="11"/>
  <c r="B187" i="11"/>
  <c r="B316" i="11"/>
  <c r="Z14" i="7"/>
  <c r="B142" i="11"/>
  <c r="AA14" i="7"/>
  <c r="G45" i="13"/>
  <c r="G45" i="14"/>
  <c r="D42" i="14"/>
  <c r="D42" i="13"/>
  <c r="E59" i="14"/>
  <c r="E59" i="13"/>
  <c r="D311" i="11"/>
  <c r="D296" i="11"/>
  <c r="E167" i="11"/>
  <c r="E341" i="11"/>
  <c r="E242" i="11"/>
  <c r="E137" i="11"/>
  <c r="E152" i="11"/>
  <c r="D281" i="11"/>
  <c r="E122" i="11"/>
  <c r="E107" i="11"/>
  <c r="E257" i="11"/>
  <c r="E227" i="11"/>
  <c r="E77" i="11"/>
  <c r="G77" i="11" s="1"/>
  <c r="E92" i="11"/>
  <c r="E182" i="11"/>
  <c r="E7" i="8"/>
  <c r="E63" i="14"/>
  <c r="E342" i="11"/>
  <c r="E63" i="13"/>
  <c r="E243" i="11"/>
  <c r="D282" i="11"/>
  <c r="E183" i="11"/>
  <c r="E228" i="11"/>
  <c r="E258" i="11"/>
  <c r="E138" i="11"/>
  <c r="E108" i="11"/>
  <c r="D312" i="11"/>
  <c r="E168" i="11"/>
  <c r="E153" i="11"/>
  <c r="E78" i="11"/>
  <c r="E93" i="11"/>
  <c r="D297" i="11"/>
  <c r="E123" i="11"/>
  <c r="E8" i="8"/>
  <c r="F60" i="13"/>
  <c r="F60" i="14"/>
  <c r="E330" i="11"/>
  <c r="E300" i="11"/>
  <c r="F186" i="11"/>
  <c r="F156" i="11"/>
  <c r="F111" i="11"/>
  <c r="F141" i="11"/>
  <c r="F216" i="11"/>
  <c r="F171" i="11"/>
  <c r="F96" i="11"/>
  <c r="F201" i="11"/>
  <c r="F11" i="8"/>
  <c r="F126" i="11"/>
  <c r="F81" i="11"/>
  <c r="E315" i="11"/>
  <c r="E285" i="11"/>
  <c r="D47" i="13"/>
  <c r="D47" i="14"/>
  <c r="E58" i="13"/>
  <c r="E58" i="14"/>
  <c r="E259" i="11"/>
  <c r="E343" i="11"/>
  <c r="D313" i="11"/>
  <c r="E154" i="11"/>
  <c r="D298" i="11"/>
  <c r="E229" i="11"/>
  <c r="E169" i="11"/>
  <c r="E94" i="11"/>
  <c r="E244" i="11"/>
  <c r="E9" i="8"/>
  <c r="E184" i="11"/>
  <c r="E109" i="11"/>
  <c r="E124" i="11"/>
  <c r="E139" i="11"/>
  <c r="D283" i="11"/>
  <c r="E79" i="11"/>
  <c r="C67" i="14"/>
  <c r="C331" i="11"/>
  <c r="C262" i="11"/>
  <c r="C346" i="11"/>
  <c r="C202" i="11"/>
  <c r="C316" i="11"/>
  <c r="C217" i="11"/>
  <c r="C232" i="11"/>
  <c r="C82" i="11"/>
  <c r="C247" i="11"/>
  <c r="C187" i="11"/>
  <c r="C67" i="13"/>
  <c r="C157" i="11"/>
  <c r="C172" i="11"/>
  <c r="B286" i="11"/>
  <c r="C97" i="11"/>
  <c r="H97" i="11" s="1"/>
  <c r="I97" i="11" s="1"/>
  <c r="C112" i="11"/>
  <c r="H112" i="11" s="1"/>
  <c r="I112" i="11" s="1"/>
  <c r="C12" i="8"/>
  <c r="C42" i="14"/>
  <c r="C42" i="13"/>
  <c r="D6" i="12"/>
  <c r="G374" i="11"/>
  <c r="H374" i="11"/>
  <c r="D57" i="14"/>
  <c r="D57" i="13"/>
  <c r="AA8" i="10"/>
  <c r="Z8" i="10"/>
  <c r="C14" i="15"/>
  <c r="P135" i="13"/>
  <c r="P135" i="14"/>
  <c r="P15" i="5"/>
  <c r="F63" i="14"/>
  <c r="F63" i="13"/>
  <c r="E312" i="11"/>
  <c r="E282" i="11"/>
  <c r="E327" i="11"/>
  <c r="F123" i="11"/>
  <c r="F183" i="11"/>
  <c r="F138" i="11"/>
  <c r="F108" i="11"/>
  <c r="F198" i="11"/>
  <c r="F168" i="11"/>
  <c r="F153" i="11"/>
  <c r="F78" i="11"/>
  <c r="F93" i="11"/>
  <c r="E297" i="11"/>
  <c r="F213" i="11"/>
  <c r="F8" i="8"/>
  <c r="F65" i="14"/>
  <c r="F65" i="13"/>
  <c r="E325" i="11"/>
  <c r="E310" i="11"/>
  <c r="E280" i="11"/>
  <c r="F196" i="11"/>
  <c r="F91" i="11"/>
  <c r="E295" i="11"/>
  <c r="F136" i="11"/>
  <c r="F181" i="11"/>
  <c r="F211" i="11"/>
  <c r="F151" i="11"/>
  <c r="F6" i="8"/>
  <c r="F76" i="11"/>
  <c r="F106" i="11"/>
  <c r="F121" i="11"/>
  <c r="F166" i="11"/>
  <c r="F76" i="13"/>
  <c r="F76" i="14"/>
  <c r="H383" i="11"/>
  <c r="G383" i="11"/>
  <c r="C40" i="14"/>
  <c r="C40" i="13"/>
  <c r="D4" i="12"/>
  <c r="J96" i="11" l="1"/>
  <c r="E59" i="11"/>
  <c r="J98" i="11"/>
  <c r="J77" i="11"/>
  <c r="J104" i="11"/>
  <c r="F284" i="11"/>
  <c r="G284" i="11"/>
  <c r="H284" i="11" s="1"/>
  <c r="J376" i="11"/>
  <c r="I376" i="11"/>
  <c r="G315" i="11"/>
  <c r="H315" i="11" s="1"/>
  <c r="F315" i="11"/>
  <c r="I315" i="11" s="1"/>
  <c r="H165" i="11"/>
  <c r="I165" i="11" s="1"/>
  <c r="G165" i="11"/>
  <c r="J165" i="11" s="1"/>
  <c r="H78" i="11"/>
  <c r="I78" i="11" s="1"/>
  <c r="B77" i="14"/>
  <c r="G61" i="14"/>
  <c r="B77" i="13"/>
  <c r="G61" i="13"/>
  <c r="B12" i="11"/>
  <c r="B30" i="11"/>
  <c r="AD12" i="7"/>
  <c r="C46" i="11"/>
  <c r="G323" i="11"/>
  <c r="H323" i="11" s="1"/>
  <c r="F323" i="11"/>
  <c r="I323" i="11" s="1"/>
  <c r="G342" i="11"/>
  <c r="H342" i="11" s="1"/>
  <c r="F342" i="11"/>
  <c r="I342" i="11" s="1"/>
  <c r="G263" i="11"/>
  <c r="H263" i="11"/>
  <c r="I263" i="11" s="1"/>
  <c r="G187" i="11"/>
  <c r="J187" i="11" s="1"/>
  <c r="H187" i="11"/>
  <c r="I187" i="11" s="1"/>
  <c r="G346" i="11"/>
  <c r="H346" i="11" s="1"/>
  <c r="F346" i="11"/>
  <c r="G112" i="11"/>
  <c r="J112" i="11" s="1"/>
  <c r="F294" i="11"/>
  <c r="I294" i="11" s="1"/>
  <c r="G294" i="11"/>
  <c r="H294" i="11" s="1"/>
  <c r="C396" i="11"/>
  <c r="AB6" i="10"/>
  <c r="AC6" i="10"/>
  <c r="H167" i="11"/>
  <c r="I167" i="11" s="1"/>
  <c r="G167" i="11"/>
  <c r="J167" i="11" s="1"/>
  <c r="G311" i="11"/>
  <c r="H311" i="11" s="1"/>
  <c r="F311" i="11"/>
  <c r="I311" i="11" s="1"/>
  <c r="C43" i="11"/>
  <c r="J107" i="11"/>
  <c r="P145" i="14"/>
  <c r="P145" i="13"/>
  <c r="J105" i="11"/>
  <c r="C12" i="11"/>
  <c r="C30" i="11"/>
  <c r="AC12" i="7"/>
  <c r="AB12" i="7"/>
  <c r="G329" i="11"/>
  <c r="H329" i="11" s="1"/>
  <c r="F329" i="11"/>
  <c r="I329" i="11" s="1"/>
  <c r="J378" i="11"/>
  <c r="K378" i="11" s="1"/>
  <c r="I378" i="11"/>
  <c r="J78" i="11"/>
  <c r="G57" i="14"/>
  <c r="B73" i="13"/>
  <c r="G57" i="13"/>
  <c r="B73" i="14"/>
  <c r="AC15" i="10"/>
  <c r="AD15" i="10" s="1"/>
  <c r="AB15" i="10"/>
  <c r="G231" i="11"/>
  <c r="J231" i="11" s="1"/>
  <c r="H231" i="11"/>
  <c r="I231" i="11" s="1"/>
  <c r="C15" i="8"/>
  <c r="C41" i="8"/>
  <c r="C16" i="8"/>
  <c r="C17" i="8" s="1"/>
  <c r="G247" i="11"/>
  <c r="J247" i="11" s="1"/>
  <c r="H247" i="11"/>
  <c r="I247" i="11" s="1"/>
  <c r="G74" i="11"/>
  <c r="J74" i="11" s="1"/>
  <c r="J381" i="11"/>
  <c r="K381" i="11" s="1"/>
  <c r="I381" i="11"/>
  <c r="G314" i="11"/>
  <c r="H314" i="11" s="1"/>
  <c r="F314" i="11"/>
  <c r="I314" i="11" s="1"/>
  <c r="G326" i="11"/>
  <c r="H326" i="11" s="1"/>
  <c r="F326" i="11"/>
  <c r="F295" i="11"/>
  <c r="G295" i="11"/>
  <c r="H295" i="11" s="1"/>
  <c r="G256" i="11"/>
  <c r="J256" i="11" s="1"/>
  <c r="H256" i="11"/>
  <c r="I256" i="11" s="1"/>
  <c r="H79" i="11"/>
  <c r="I79" i="11" s="1"/>
  <c r="J79" i="11" s="1"/>
  <c r="B15" i="8"/>
  <c r="B44" i="8" s="1"/>
  <c r="B16" i="8"/>
  <c r="B17" i="8" s="1"/>
  <c r="G123" i="11"/>
  <c r="H123" i="11"/>
  <c r="I123" i="11" s="1"/>
  <c r="H168" i="11"/>
  <c r="I168" i="11" s="1"/>
  <c r="G168" i="11"/>
  <c r="H173" i="11"/>
  <c r="I173" i="11" s="1"/>
  <c r="G173" i="11"/>
  <c r="J173" i="11" s="1"/>
  <c r="G347" i="11"/>
  <c r="H347" i="11" s="1"/>
  <c r="F347" i="11"/>
  <c r="AB5" i="7"/>
  <c r="AC5" i="7"/>
  <c r="D396" i="11"/>
  <c r="G171" i="11"/>
  <c r="J171" i="11" s="1"/>
  <c r="H171" i="11"/>
  <c r="I171" i="11" s="1"/>
  <c r="G64" i="14"/>
  <c r="B80" i="13"/>
  <c r="B80" i="14"/>
  <c r="G64" i="13"/>
  <c r="B25" i="11"/>
  <c r="B7" i="11"/>
  <c r="G195" i="11"/>
  <c r="J195" i="11" s="1"/>
  <c r="H195" i="11"/>
  <c r="I195" i="11" s="1"/>
  <c r="W358" i="11"/>
  <c r="C50" i="8"/>
  <c r="H257" i="11"/>
  <c r="I257" i="11" s="1"/>
  <c r="G257" i="11"/>
  <c r="F341" i="11"/>
  <c r="G341" i="11"/>
  <c r="H341" i="11" s="1"/>
  <c r="H166" i="11"/>
  <c r="I166" i="11" s="1"/>
  <c r="G166" i="11"/>
  <c r="J166" i="11" s="1"/>
  <c r="H226" i="11"/>
  <c r="I226" i="11" s="1"/>
  <c r="G226" i="11"/>
  <c r="J226" i="11" s="1"/>
  <c r="H184" i="11"/>
  <c r="I184" i="11" s="1"/>
  <c r="G184" i="11"/>
  <c r="G134" i="11"/>
  <c r="J134" i="11" s="1"/>
  <c r="H134" i="11"/>
  <c r="I134" i="11" s="1"/>
  <c r="H183" i="11"/>
  <c r="I183" i="11" s="1"/>
  <c r="G183" i="11"/>
  <c r="F317" i="11"/>
  <c r="G317" i="11"/>
  <c r="H317" i="11" s="1"/>
  <c r="G286" i="11"/>
  <c r="H286" i="11" s="1"/>
  <c r="F286" i="11"/>
  <c r="I286" i="11" s="1"/>
  <c r="AC9" i="10"/>
  <c r="AD9" i="10" s="1"/>
  <c r="AB9" i="10"/>
  <c r="H215" i="11"/>
  <c r="I215" i="11" s="1"/>
  <c r="G215" i="11"/>
  <c r="F281" i="11"/>
  <c r="G281" i="11"/>
  <c r="H281" i="11" s="1"/>
  <c r="D129" i="13"/>
  <c r="D129" i="14"/>
  <c r="G139" i="11"/>
  <c r="H139" i="11"/>
  <c r="I139" i="11" s="1"/>
  <c r="B78" i="14"/>
  <c r="G62" i="13"/>
  <c r="B78" i="13"/>
  <c r="G62" i="14"/>
  <c r="B6" i="11"/>
  <c r="B24" i="11"/>
  <c r="J379" i="11"/>
  <c r="K379" i="11" s="1"/>
  <c r="I379" i="11"/>
  <c r="D126" i="14"/>
  <c r="D126" i="13"/>
  <c r="H213" i="11"/>
  <c r="I213" i="11" s="1"/>
  <c r="G213" i="11"/>
  <c r="J213" i="11" s="1"/>
  <c r="F327" i="11"/>
  <c r="I327" i="11" s="1"/>
  <c r="G327" i="11"/>
  <c r="H327" i="11" s="1"/>
  <c r="G203" i="11"/>
  <c r="H203" i="11"/>
  <c r="I203" i="11" s="1"/>
  <c r="B48" i="8"/>
  <c r="H246" i="11"/>
  <c r="I246" i="11" s="1"/>
  <c r="G246" i="11"/>
  <c r="F324" i="11"/>
  <c r="I324" i="11" s="1"/>
  <c r="G324" i="11"/>
  <c r="H324" i="11" s="1"/>
  <c r="G331" i="11"/>
  <c r="H331" i="11" s="1"/>
  <c r="F331" i="11"/>
  <c r="I331" i="11" s="1"/>
  <c r="AD13" i="10"/>
  <c r="I375" i="11"/>
  <c r="J375" i="11"/>
  <c r="C47" i="11"/>
  <c r="G344" i="11"/>
  <c r="H344" i="11" s="1"/>
  <c r="F344" i="11"/>
  <c r="H137" i="11"/>
  <c r="I137" i="11" s="1"/>
  <c r="G137" i="11"/>
  <c r="J137" i="11" s="1"/>
  <c r="H241" i="11"/>
  <c r="I241" i="11" s="1"/>
  <c r="G241" i="11"/>
  <c r="H211" i="11"/>
  <c r="I211" i="11" s="1"/>
  <c r="G211" i="11"/>
  <c r="J211" i="11" s="1"/>
  <c r="H244" i="11"/>
  <c r="I244" i="11" s="1"/>
  <c r="G244" i="11"/>
  <c r="H194" i="11"/>
  <c r="I194" i="11" s="1"/>
  <c r="G194" i="11"/>
  <c r="J194" i="11" s="1"/>
  <c r="C45" i="11"/>
  <c r="G312" i="11"/>
  <c r="H312" i="11" s="1"/>
  <c r="F312" i="11"/>
  <c r="F302" i="11"/>
  <c r="G302" i="11"/>
  <c r="H302" i="11" s="1"/>
  <c r="D128" i="14"/>
  <c r="D128" i="13"/>
  <c r="C47" i="8"/>
  <c r="B76" i="14"/>
  <c r="G60" i="14"/>
  <c r="B76" i="13"/>
  <c r="G60" i="13"/>
  <c r="B31" i="11"/>
  <c r="B13" i="11"/>
  <c r="AD13" i="7"/>
  <c r="G186" i="11"/>
  <c r="J186" i="11" s="1"/>
  <c r="H186" i="11"/>
  <c r="I186" i="11" s="1"/>
  <c r="G278" i="11"/>
  <c r="H278" i="11" s="1"/>
  <c r="F278" i="11"/>
  <c r="I278" i="11" s="1"/>
  <c r="C25" i="11"/>
  <c r="C7" i="11"/>
  <c r="AB7" i="7"/>
  <c r="AC7" i="7"/>
  <c r="AD7" i="7" s="1"/>
  <c r="G309" i="11"/>
  <c r="H309" i="11" s="1"/>
  <c r="F309" i="11"/>
  <c r="I309" i="11" s="1"/>
  <c r="H232" i="11"/>
  <c r="I232" i="11" s="1"/>
  <c r="G232" i="11"/>
  <c r="J232" i="11" s="1"/>
  <c r="G283" i="11"/>
  <c r="H283" i="11" s="1"/>
  <c r="F283" i="11"/>
  <c r="AB13" i="10"/>
  <c r="AC13" i="10"/>
  <c r="H185" i="11"/>
  <c r="I185" i="11" s="1"/>
  <c r="G185" i="11"/>
  <c r="J185" i="11" s="1"/>
  <c r="G94" i="11"/>
  <c r="J94" i="11" s="1"/>
  <c r="G197" i="11"/>
  <c r="J197" i="11" s="1"/>
  <c r="H197" i="11"/>
  <c r="I197" i="11" s="1"/>
  <c r="I377" i="11"/>
  <c r="J377" i="11"/>
  <c r="K377" i="11" s="1"/>
  <c r="B81" i="14"/>
  <c r="G65" i="14"/>
  <c r="G65" i="13"/>
  <c r="B81" i="13"/>
  <c r="B26" i="11"/>
  <c r="B8" i="11"/>
  <c r="G325" i="11"/>
  <c r="H325" i="11" s="1"/>
  <c r="F325" i="11"/>
  <c r="I325" i="11" s="1"/>
  <c r="G154" i="11"/>
  <c r="J154" i="11" s="1"/>
  <c r="H154" i="11"/>
  <c r="I154" i="11" s="1"/>
  <c r="H119" i="11"/>
  <c r="I119" i="11" s="1"/>
  <c r="G119" i="11"/>
  <c r="J119" i="11" s="1"/>
  <c r="H153" i="11"/>
  <c r="I153" i="11" s="1"/>
  <c r="G153" i="11"/>
  <c r="G111" i="11"/>
  <c r="J111" i="11" s="1"/>
  <c r="G158" i="11"/>
  <c r="H158" i="11"/>
  <c r="I158" i="11" s="1"/>
  <c r="AC5" i="10"/>
  <c r="AB5" i="10"/>
  <c r="D125" i="14"/>
  <c r="D125" i="13"/>
  <c r="AB13" i="7"/>
  <c r="C31" i="11"/>
  <c r="AC13" i="7"/>
  <c r="C13" i="11"/>
  <c r="F300" i="11"/>
  <c r="G300" i="11"/>
  <c r="H300" i="11" s="1"/>
  <c r="G210" i="11"/>
  <c r="J210" i="11" s="1"/>
  <c r="H210" i="11"/>
  <c r="I210" i="11" s="1"/>
  <c r="F339" i="11"/>
  <c r="G339" i="11"/>
  <c r="H339" i="11" s="1"/>
  <c r="H152" i="11"/>
  <c r="I152" i="11" s="1"/>
  <c r="G152" i="11"/>
  <c r="J152" i="11" s="1"/>
  <c r="G89" i="11"/>
  <c r="J89" i="11" s="1"/>
  <c r="K93" i="11" s="1"/>
  <c r="C26" i="11"/>
  <c r="C8" i="11"/>
  <c r="AB8" i="7"/>
  <c r="AC8" i="7"/>
  <c r="H229" i="11"/>
  <c r="I229" i="11" s="1"/>
  <c r="G229" i="11"/>
  <c r="J229" i="11" s="1"/>
  <c r="H239" i="11"/>
  <c r="I239" i="11" s="1"/>
  <c r="G239" i="11"/>
  <c r="G97" i="13"/>
  <c r="G97" i="14"/>
  <c r="AE14" i="10"/>
  <c r="G228" i="11"/>
  <c r="J228" i="11" s="1"/>
  <c r="H228" i="11"/>
  <c r="I228" i="11" s="1"/>
  <c r="G280" i="11"/>
  <c r="H280" i="11" s="1"/>
  <c r="F280" i="11"/>
  <c r="H248" i="11"/>
  <c r="I248" i="11" s="1"/>
  <c r="G248" i="11"/>
  <c r="AD5" i="10"/>
  <c r="AE5" i="10" s="1"/>
  <c r="G126" i="11"/>
  <c r="J126" i="11" s="1"/>
  <c r="H126" i="11"/>
  <c r="I126" i="11" s="1"/>
  <c r="F330" i="11"/>
  <c r="I330" i="11" s="1"/>
  <c r="G330" i="11"/>
  <c r="H330" i="11" s="1"/>
  <c r="H120" i="11"/>
  <c r="I120" i="11" s="1"/>
  <c r="G120" i="11"/>
  <c r="H217" i="11"/>
  <c r="I217" i="11" s="1"/>
  <c r="G217" i="11"/>
  <c r="J217" i="11" s="1"/>
  <c r="W359" i="11"/>
  <c r="X364" i="11" s="1"/>
  <c r="J106" i="11"/>
  <c r="C44" i="11"/>
  <c r="G196" i="11"/>
  <c r="J196" i="11" s="1"/>
  <c r="H196" i="11"/>
  <c r="I196" i="11" s="1"/>
  <c r="G313" i="11"/>
  <c r="H313" i="11" s="1"/>
  <c r="F313" i="11"/>
  <c r="H179" i="11"/>
  <c r="I179" i="11" s="1"/>
  <c r="G179" i="11"/>
  <c r="H243" i="11"/>
  <c r="I243" i="11" s="1"/>
  <c r="G243" i="11"/>
  <c r="G332" i="11"/>
  <c r="H332" i="11" s="1"/>
  <c r="F332" i="11"/>
  <c r="G108" i="11"/>
  <c r="J108" i="11" s="1"/>
  <c r="K108" i="11" s="1"/>
  <c r="G97" i="11"/>
  <c r="J97" i="11" s="1"/>
  <c r="H201" i="11"/>
  <c r="I201" i="11" s="1"/>
  <c r="G201" i="11"/>
  <c r="J201" i="11" s="1"/>
  <c r="H225" i="11"/>
  <c r="I225" i="11" s="1"/>
  <c r="G225" i="11"/>
  <c r="H170" i="11"/>
  <c r="I170" i="11" s="1"/>
  <c r="G170" i="11"/>
  <c r="G212" i="11"/>
  <c r="J212" i="11" s="1"/>
  <c r="H212" i="11"/>
  <c r="I212" i="11" s="1"/>
  <c r="H92" i="11"/>
  <c r="I92" i="11" s="1"/>
  <c r="J92" i="11" s="1"/>
  <c r="K92" i="11" s="1"/>
  <c r="H136" i="11"/>
  <c r="I136" i="11" s="1"/>
  <c r="G136" i="11"/>
  <c r="J136" i="11" s="1"/>
  <c r="B74" i="14"/>
  <c r="G58" i="13"/>
  <c r="B74" i="13"/>
  <c r="G58" i="14"/>
  <c r="B29" i="11"/>
  <c r="B11" i="11"/>
  <c r="AD11" i="7"/>
  <c r="G343" i="11"/>
  <c r="H343" i="11" s="1"/>
  <c r="F343" i="11"/>
  <c r="C24" i="11"/>
  <c r="C6" i="11"/>
  <c r="AC6" i="7"/>
  <c r="AD6" i="7" s="1"/>
  <c r="AB6" i="7"/>
  <c r="G293" i="11"/>
  <c r="H293" i="11" s="1"/>
  <c r="F293" i="11"/>
  <c r="I293" i="11" s="1"/>
  <c r="G63" i="14"/>
  <c r="B79" i="13"/>
  <c r="G63" i="13"/>
  <c r="B79" i="14"/>
  <c r="B28" i="11"/>
  <c r="B10" i="11"/>
  <c r="H76" i="11"/>
  <c r="I76" i="11" s="1"/>
  <c r="G76" i="11"/>
  <c r="H143" i="11"/>
  <c r="I143" i="11" s="1"/>
  <c r="G143" i="11"/>
  <c r="J143" i="11" s="1"/>
  <c r="H80" i="11"/>
  <c r="I80" i="11" s="1"/>
  <c r="G80" i="11"/>
  <c r="J80" i="11" s="1"/>
  <c r="H156" i="11"/>
  <c r="I156" i="11" s="1"/>
  <c r="G156" i="11"/>
  <c r="C42" i="11"/>
  <c r="G75" i="11"/>
  <c r="J75" i="11" s="1"/>
  <c r="AC8" i="10"/>
  <c r="AD8" i="10" s="1"/>
  <c r="AB8" i="10"/>
  <c r="G127" i="11"/>
  <c r="J127" i="11" s="1"/>
  <c r="H127" i="11"/>
  <c r="I127" i="11" s="1"/>
  <c r="H172" i="11"/>
  <c r="I172" i="11" s="1"/>
  <c r="G172" i="11"/>
  <c r="G95" i="11"/>
  <c r="J95" i="11" s="1"/>
  <c r="H122" i="11"/>
  <c r="I122" i="11" s="1"/>
  <c r="G122" i="11"/>
  <c r="J122" i="11" s="1"/>
  <c r="G340" i="11"/>
  <c r="H340" i="11" s="1"/>
  <c r="F340" i="11"/>
  <c r="C29" i="11"/>
  <c r="C11" i="11"/>
  <c r="AB11" i="7"/>
  <c r="AC11" i="7"/>
  <c r="G259" i="11"/>
  <c r="H259" i="11"/>
  <c r="I259" i="11" s="1"/>
  <c r="H149" i="11"/>
  <c r="I149" i="11" s="1"/>
  <c r="G149" i="11"/>
  <c r="J149" i="11" s="1"/>
  <c r="H224" i="11"/>
  <c r="I224" i="11" s="1"/>
  <c r="G224" i="11"/>
  <c r="H198" i="11"/>
  <c r="I198" i="11" s="1"/>
  <c r="G198" i="11"/>
  <c r="J198" i="11" s="1"/>
  <c r="H188" i="11"/>
  <c r="I188" i="11" s="1"/>
  <c r="G188" i="11"/>
  <c r="F282" i="11"/>
  <c r="I282" i="11" s="1"/>
  <c r="C48" i="11"/>
  <c r="H150" i="11"/>
  <c r="I150" i="11" s="1"/>
  <c r="G150" i="11"/>
  <c r="J150" i="11" s="1"/>
  <c r="D118" i="14"/>
  <c r="D118" i="13"/>
  <c r="C49" i="8"/>
  <c r="G316" i="11"/>
  <c r="H316" i="11" s="1"/>
  <c r="F316" i="11"/>
  <c r="I316" i="11" s="1"/>
  <c r="J373" i="11"/>
  <c r="I373" i="11"/>
  <c r="B388" i="11"/>
  <c r="K375" i="11"/>
  <c r="H245" i="11"/>
  <c r="I245" i="11" s="1"/>
  <c r="G245" i="11"/>
  <c r="J245" i="11" s="1"/>
  <c r="AC10" i="10"/>
  <c r="AD10" i="10" s="1"/>
  <c r="AB10" i="10"/>
  <c r="I374" i="11"/>
  <c r="J374" i="11"/>
  <c r="K374" i="11" s="1"/>
  <c r="L374" i="11" s="1"/>
  <c r="H82" i="11"/>
  <c r="I82" i="11" s="1"/>
  <c r="G82" i="11"/>
  <c r="J82" i="11" s="1"/>
  <c r="J90" i="11"/>
  <c r="K91" i="11" s="1"/>
  <c r="F396" i="11"/>
  <c r="G299" i="11"/>
  <c r="H299" i="11" s="1"/>
  <c r="F299" i="11"/>
  <c r="G157" i="11"/>
  <c r="J157" i="11" s="1"/>
  <c r="H157" i="11"/>
  <c r="I157" i="11" s="1"/>
  <c r="G94" i="14"/>
  <c r="G94" i="13"/>
  <c r="AE7" i="10"/>
  <c r="C48" i="8"/>
  <c r="C46" i="8"/>
  <c r="AC4" i="7"/>
  <c r="AB4" i="7"/>
  <c r="J380" i="11"/>
  <c r="K380" i="11" s="1"/>
  <c r="I380" i="11"/>
  <c r="H200" i="11"/>
  <c r="I200" i="11" s="1"/>
  <c r="G200" i="11"/>
  <c r="J200" i="11" s="1"/>
  <c r="D44" i="8"/>
  <c r="H242" i="11"/>
  <c r="I242" i="11" s="1"/>
  <c r="G242" i="11"/>
  <c r="J242" i="11" s="1"/>
  <c r="F16" i="8"/>
  <c r="F17" i="8" s="1"/>
  <c r="F15" i="8"/>
  <c r="G151" i="11"/>
  <c r="H151" i="11"/>
  <c r="I151" i="11" s="1"/>
  <c r="H169" i="11"/>
  <c r="I169" i="11" s="1"/>
  <c r="G169" i="11"/>
  <c r="J169" i="11" s="1"/>
  <c r="C41" i="11"/>
  <c r="G308" i="11"/>
  <c r="H308" i="11" s="1"/>
  <c r="F308" i="11"/>
  <c r="AD11" i="10"/>
  <c r="C28" i="11"/>
  <c r="AB10" i="7"/>
  <c r="C10" i="11"/>
  <c r="AC10" i="7"/>
  <c r="C50" i="11"/>
  <c r="G279" i="11"/>
  <c r="H279" i="11" s="1"/>
  <c r="F279" i="11"/>
  <c r="D122" i="13"/>
  <c r="D122" i="14"/>
  <c r="H141" i="11"/>
  <c r="I141" i="11" s="1"/>
  <c r="G141" i="11"/>
  <c r="J141" i="11" s="1"/>
  <c r="H255" i="11"/>
  <c r="I255" i="11" s="1"/>
  <c r="G255" i="11"/>
  <c r="E15" i="8"/>
  <c r="E45" i="8" s="1"/>
  <c r="E16" i="8"/>
  <c r="E17" i="8" s="1"/>
  <c r="K373" i="11"/>
  <c r="L373" i="11" s="1"/>
  <c r="O145" i="14"/>
  <c r="O145" i="13"/>
  <c r="B400" i="11"/>
  <c r="B405" i="11"/>
  <c r="B403" i="11"/>
  <c r="B408" i="11"/>
  <c r="B402" i="11"/>
  <c r="B401" i="11"/>
  <c r="B404" i="11"/>
  <c r="B407" i="11"/>
  <c r="B406" i="11"/>
  <c r="B399" i="11"/>
  <c r="H140" i="11"/>
  <c r="I140" i="11" s="1"/>
  <c r="G140" i="11"/>
  <c r="F43" i="8"/>
  <c r="D124" i="14"/>
  <c r="B19" i="12"/>
  <c r="D124" i="13"/>
  <c r="C32" i="11"/>
  <c r="C14" i="11"/>
  <c r="AC14" i="7"/>
  <c r="AB14" i="7"/>
  <c r="G262" i="11"/>
  <c r="H262" i="11"/>
  <c r="I262" i="11" s="1"/>
  <c r="H121" i="11"/>
  <c r="I121" i="11" s="1"/>
  <c r="G121" i="11"/>
  <c r="B82" i="13"/>
  <c r="B82" i="14"/>
  <c r="G66" i="14"/>
  <c r="B33" i="11"/>
  <c r="G66" i="13"/>
  <c r="B15" i="11"/>
  <c r="H128" i="11"/>
  <c r="I128" i="11" s="1"/>
  <c r="G128" i="11"/>
  <c r="J128" i="11" s="1"/>
  <c r="C42" i="8"/>
  <c r="J384" i="11"/>
  <c r="K384" i="11" s="1"/>
  <c r="I384" i="11"/>
  <c r="H216" i="11"/>
  <c r="I216" i="11" s="1"/>
  <c r="G216" i="11"/>
  <c r="J216" i="11" s="1"/>
  <c r="H135" i="11"/>
  <c r="I135" i="11" s="1"/>
  <c r="G135" i="11"/>
  <c r="J135" i="11" s="1"/>
  <c r="J383" i="11"/>
  <c r="K383" i="11" s="1"/>
  <c r="I383" i="11"/>
  <c r="H182" i="11"/>
  <c r="I182" i="11" s="1"/>
  <c r="G182" i="11"/>
  <c r="J182" i="11" s="1"/>
  <c r="H199" i="11"/>
  <c r="I199" i="11" s="1"/>
  <c r="G199" i="11"/>
  <c r="J199" i="11" s="1"/>
  <c r="G298" i="11"/>
  <c r="H298" i="11" s="1"/>
  <c r="F298" i="11"/>
  <c r="I298" i="11" s="1"/>
  <c r="H254" i="11"/>
  <c r="I254" i="11" s="1"/>
  <c r="G254" i="11"/>
  <c r="G338" i="11"/>
  <c r="H338" i="11" s="1"/>
  <c r="F338" i="11"/>
  <c r="AC11" i="10"/>
  <c r="AB11" i="10"/>
  <c r="H138" i="11"/>
  <c r="I138" i="11" s="1"/>
  <c r="G138" i="11"/>
  <c r="J138" i="11" s="1"/>
  <c r="AC4" i="10"/>
  <c r="AB4" i="10"/>
  <c r="F45" i="8"/>
  <c r="H142" i="11"/>
  <c r="I142" i="11" s="1"/>
  <c r="G142" i="11"/>
  <c r="G301" i="11"/>
  <c r="H301" i="11" s="1"/>
  <c r="F301" i="11"/>
  <c r="I301" i="11" s="1"/>
  <c r="AC12" i="10"/>
  <c r="AB12" i="10"/>
  <c r="B72" i="13"/>
  <c r="G56" i="14"/>
  <c r="G56" i="13"/>
  <c r="B72" i="14"/>
  <c r="AD4" i="7"/>
  <c r="G83" i="11"/>
  <c r="J83" i="11" s="1"/>
  <c r="G125" i="11"/>
  <c r="J125" i="11" s="1"/>
  <c r="H125" i="11"/>
  <c r="I125" i="11" s="1"/>
  <c r="B75" i="13"/>
  <c r="G59" i="14"/>
  <c r="G59" i="13"/>
  <c r="B75" i="14"/>
  <c r="B27" i="11"/>
  <c r="AD9" i="7"/>
  <c r="B9" i="11"/>
  <c r="G227" i="11"/>
  <c r="H227" i="11"/>
  <c r="I227" i="11" s="1"/>
  <c r="H181" i="11"/>
  <c r="I181" i="11" s="1"/>
  <c r="G181" i="11"/>
  <c r="J181" i="11" s="1"/>
  <c r="H124" i="11"/>
  <c r="I124" i="11" s="1"/>
  <c r="G124" i="11"/>
  <c r="J124" i="11" s="1"/>
  <c r="F328" i="11"/>
  <c r="G328" i="11"/>
  <c r="H328" i="11" s="1"/>
  <c r="H209" i="11"/>
  <c r="I209" i="11" s="1"/>
  <c r="G209" i="11"/>
  <c r="G258" i="11"/>
  <c r="J258" i="11" s="1"/>
  <c r="H258" i="11"/>
  <c r="I258" i="11" s="1"/>
  <c r="AD4" i="10"/>
  <c r="AE4" i="10" s="1"/>
  <c r="C33" i="11"/>
  <c r="C15" i="11"/>
  <c r="AC15" i="7"/>
  <c r="AB15" i="7"/>
  <c r="H218" i="11"/>
  <c r="I218" i="11" s="1"/>
  <c r="G218" i="11"/>
  <c r="J218" i="11" s="1"/>
  <c r="G345" i="11"/>
  <c r="H345" i="11" s="1"/>
  <c r="F345" i="11"/>
  <c r="I345" i="11" s="1"/>
  <c r="G240" i="11"/>
  <c r="J240" i="11" s="1"/>
  <c r="H240" i="11"/>
  <c r="I240" i="11" s="1"/>
  <c r="X363" i="11"/>
  <c r="F285" i="11"/>
  <c r="G285" i="11"/>
  <c r="H285" i="11" s="1"/>
  <c r="AD12" i="10"/>
  <c r="E396" i="11"/>
  <c r="G260" i="11"/>
  <c r="J260" i="11" s="1"/>
  <c r="H260" i="11"/>
  <c r="I260" i="11" s="1"/>
  <c r="G67" i="14"/>
  <c r="B83" i="14"/>
  <c r="B83" i="13"/>
  <c r="G67" i="13"/>
  <c r="B14" i="11"/>
  <c r="B32" i="11"/>
  <c r="AD14" i="7"/>
  <c r="H202" i="11"/>
  <c r="I202" i="11" s="1"/>
  <c r="G202" i="11"/>
  <c r="J202" i="11" s="1"/>
  <c r="D15" i="8"/>
  <c r="D42" i="8" s="1"/>
  <c r="D16" i="8"/>
  <c r="D17" i="8" s="1"/>
  <c r="D18" i="8" s="1"/>
  <c r="G81" i="11"/>
  <c r="H81" i="11"/>
  <c r="I81" i="11" s="1"/>
  <c r="AD6" i="10"/>
  <c r="AF14" i="10" s="1"/>
  <c r="C130" i="14"/>
  <c r="C130" i="13"/>
  <c r="J382" i="11"/>
  <c r="K382" i="11" s="1"/>
  <c r="I382" i="11"/>
  <c r="G155" i="11"/>
  <c r="J155" i="11" s="1"/>
  <c r="H155" i="11"/>
  <c r="I155" i="11" s="1"/>
  <c r="G230" i="11"/>
  <c r="H230" i="11"/>
  <c r="I230" i="11" s="1"/>
  <c r="G287" i="11"/>
  <c r="H287" i="11" s="1"/>
  <c r="F287" i="11"/>
  <c r="C27" i="11"/>
  <c r="C9" i="11"/>
  <c r="AC9" i="7"/>
  <c r="AB9" i="7"/>
  <c r="F296" i="11"/>
  <c r="G296" i="11"/>
  <c r="H296" i="11" s="1"/>
  <c r="G310" i="11"/>
  <c r="H310" i="11" s="1"/>
  <c r="F310" i="11"/>
  <c r="H214" i="11"/>
  <c r="I214" i="11" s="1"/>
  <c r="G214" i="11"/>
  <c r="G164" i="11"/>
  <c r="H164" i="11"/>
  <c r="I164" i="11" s="1"/>
  <c r="G297" i="11"/>
  <c r="H297" i="11" s="1"/>
  <c r="F297" i="11"/>
  <c r="C43" i="8"/>
  <c r="B50" i="8"/>
  <c r="H233" i="11"/>
  <c r="I233" i="11" s="1"/>
  <c r="G233" i="11"/>
  <c r="J233" i="11" s="1"/>
  <c r="K376" i="11"/>
  <c r="H261" i="11"/>
  <c r="I261" i="11" s="1"/>
  <c r="G261" i="11"/>
  <c r="J261" i="11" s="1"/>
  <c r="D43" i="8"/>
  <c r="G180" i="11"/>
  <c r="J180" i="11" s="1"/>
  <c r="H180" i="11"/>
  <c r="I180" i="11" s="1"/>
  <c r="W365" i="11"/>
  <c r="X365" i="11" s="1"/>
  <c r="H97" i="14" l="1"/>
  <c r="H97" i="13"/>
  <c r="G96" i="13"/>
  <c r="G96" i="14"/>
  <c r="AF15" i="10"/>
  <c r="AE15" i="10"/>
  <c r="C94" i="13"/>
  <c r="D80" i="14"/>
  <c r="D80" i="13"/>
  <c r="C94" i="14"/>
  <c r="B7" i="12"/>
  <c r="G5" i="8"/>
  <c r="AE7" i="7"/>
  <c r="G89" i="13"/>
  <c r="G89" i="14"/>
  <c r="AF9" i="10"/>
  <c r="AE9" i="10"/>
  <c r="G93" i="13"/>
  <c r="G93" i="14"/>
  <c r="AF10" i="10"/>
  <c r="AE10" i="10"/>
  <c r="M383" i="11"/>
  <c r="L383" i="11"/>
  <c r="M378" i="11"/>
  <c r="L378" i="11"/>
  <c r="L380" i="11"/>
  <c r="M380" i="11"/>
  <c r="M384" i="11"/>
  <c r="L384" i="11"/>
  <c r="G95" i="13"/>
  <c r="G95" i="14"/>
  <c r="AF8" i="10"/>
  <c r="AE8" i="10"/>
  <c r="M382" i="11"/>
  <c r="L382" i="11"/>
  <c r="C92" i="13"/>
  <c r="D78" i="14"/>
  <c r="B6" i="12"/>
  <c r="D78" i="13"/>
  <c r="C92" i="14"/>
  <c r="AE6" i="7"/>
  <c r="G4" i="8"/>
  <c r="L377" i="11"/>
  <c r="M377" i="11"/>
  <c r="L379" i="11"/>
  <c r="M379" i="11"/>
  <c r="M381" i="11"/>
  <c r="L381" i="11"/>
  <c r="J14" i="11"/>
  <c r="H14" i="11"/>
  <c r="N14" i="11"/>
  <c r="L14" i="11"/>
  <c r="F14" i="11"/>
  <c r="D14" i="11"/>
  <c r="J11" i="11"/>
  <c r="H11" i="11"/>
  <c r="N11" i="11"/>
  <c r="O11" i="11" s="1"/>
  <c r="L11" i="11"/>
  <c r="F11" i="11"/>
  <c r="D11" i="11"/>
  <c r="AF7" i="10"/>
  <c r="D46" i="8"/>
  <c r="D406" i="11"/>
  <c r="D408" i="11"/>
  <c r="D403" i="11"/>
  <c r="D401" i="11"/>
  <c r="D405" i="11"/>
  <c r="D404" i="11"/>
  <c r="D407" i="11"/>
  <c r="D402" i="11"/>
  <c r="D400" i="11"/>
  <c r="D399" i="11"/>
  <c r="E49" i="8"/>
  <c r="D77" i="13"/>
  <c r="C91" i="14"/>
  <c r="C91" i="13"/>
  <c r="D77" i="14"/>
  <c r="B12" i="12"/>
  <c r="AE12" i="7"/>
  <c r="G10" i="8"/>
  <c r="J9" i="11"/>
  <c r="H9" i="11"/>
  <c r="D9" i="11"/>
  <c r="N9" i="11"/>
  <c r="L9" i="11"/>
  <c r="F9" i="11"/>
  <c r="J164" i="11"/>
  <c r="J230" i="11"/>
  <c r="C89" i="14"/>
  <c r="D75" i="14"/>
  <c r="C89" i="13"/>
  <c r="D75" i="13"/>
  <c r="B9" i="12"/>
  <c r="AE9" i="7"/>
  <c r="G7" i="8"/>
  <c r="F42" i="8"/>
  <c r="F49" i="8"/>
  <c r="F46" i="8"/>
  <c r="C90" i="13"/>
  <c r="D76" i="14"/>
  <c r="B13" i="12"/>
  <c r="C90" i="14"/>
  <c r="D76" i="13"/>
  <c r="G11" i="8"/>
  <c r="AE13" i="7"/>
  <c r="J214" i="11"/>
  <c r="I285" i="11"/>
  <c r="D27" i="11"/>
  <c r="L27" i="11"/>
  <c r="J27" i="11"/>
  <c r="H27" i="11"/>
  <c r="F27" i="11"/>
  <c r="I338" i="11"/>
  <c r="J140" i="11"/>
  <c r="C79" i="14"/>
  <c r="C79" i="13"/>
  <c r="F18" i="8"/>
  <c r="J259" i="11"/>
  <c r="AD10" i="7"/>
  <c r="I343" i="11"/>
  <c r="J170" i="11"/>
  <c r="I313" i="11"/>
  <c r="I339" i="11"/>
  <c r="J158" i="11"/>
  <c r="J13" i="11"/>
  <c r="H13" i="11"/>
  <c r="F13" i="11"/>
  <c r="D13" i="11"/>
  <c r="N13" i="11"/>
  <c r="L13" i="11"/>
  <c r="M13" i="11" s="1"/>
  <c r="B42" i="8"/>
  <c r="I281" i="11"/>
  <c r="B45" i="8"/>
  <c r="E47" i="8"/>
  <c r="C73" i="13"/>
  <c r="C73" i="14"/>
  <c r="B46" i="8"/>
  <c r="K107" i="11"/>
  <c r="K112" i="11"/>
  <c r="J30" i="11"/>
  <c r="H30" i="11"/>
  <c r="L30" i="11"/>
  <c r="F30" i="11"/>
  <c r="D30" i="11"/>
  <c r="E41" i="8"/>
  <c r="E42" i="8"/>
  <c r="C74" i="13"/>
  <c r="C74" i="14"/>
  <c r="J10" i="11"/>
  <c r="H10" i="11"/>
  <c r="L10" i="11"/>
  <c r="F10" i="11"/>
  <c r="D10" i="11"/>
  <c r="E10" i="11" s="1"/>
  <c r="N10" i="11"/>
  <c r="K111" i="11"/>
  <c r="L31" i="11"/>
  <c r="J31" i="11"/>
  <c r="F31" i="11"/>
  <c r="D31" i="11"/>
  <c r="H31" i="11"/>
  <c r="J246" i="11"/>
  <c r="L24" i="11"/>
  <c r="J24" i="11"/>
  <c r="H24" i="11"/>
  <c r="F24" i="11"/>
  <c r="D24" i="11"/>
  <c r="J215" i="11"/>
  <c r="X358" i="11"/>
  <c r="H57" i="13"/>
  <c r="H57" i="14"/>
  <c r="O374" i="11"/>
  <c r="I346" i="11"/>
  <c r="J12" i="11"/>
  <c r="H12" i="11"/>
  <c r="N12" i="11"/>
  <c r="L12" i="11"/>
  <c r="F12" i="11"/>
  <c r="D12" i="11"/>
  <c r="I284" i="11"/>
  <c r="I310" i="11"/>
  <c r="L32" i="11"/>
  <c r="J32" i="11"/>
  <c r="H32" i="11"/>
  <c r="F32" i="11"/>
  <c r="D32" i="11"/>
  <c r="J209" i="11"/>
  <c r="K209" i="11" s="1"/>
  <c r="J254" i="11"/>
  <c r="J121" i="11"/>
  <c r="B409" i="11"/>
  <c r="B410" i="11"/>
  <c r="E18" i="8"/>
  <c r="H63" i="13"/>
  <c r="H63" i="14"/>
  <c r="O379" i="11"/>
  <c r="H58" i="13"/>
  <c r="H58" i="14"/>
  <c r="O380" i="11"/>
  <c r="F28" i="11"/>
  <c r="D28" i="11"/>
  <c r="L28" i="11"/>
  <c r="J28" i="11"/>
  <c r="H28" i="11"/>
  <c r="C88" i="13"/>
  <c r="D74" i="13"/>
  <c r="C88" i="14"/>
  <c r="D74" i="14"/>
  <c r="B11" i="12"/>
  <c r="G9" i="8"/>
  <c r="AE11" i="7"/>
  <c r="J225" i="11"/>
  <c r="J239" i="11"/>
  <c r="K242" i="11" s="1"/>
  <c r="J153" i="11"/>
  <c r="J244" i="11"/>
  <c r="J6" i="11"/>
  <c r="H6" i="11"/>
  <c r="F6" i="11"/>
  <c r="D6" i="11"/>
  <c r="L6" i="11"/>
  <c r="N6" i="11"/>
  <c r="I347" i="11"/>
  <c r="K247" i="11"/>
  <c r="K104" i="11"/>
  <c r="G90" i="13"/>
  <c r="G90" i="14"/>
  <c r="AF13" i="10"/>
  <c r="AE13" i="10"/>
  <c r="J184" i="11"/>
  <c r="C18" i="8"/>
  <c r="G88" i="14"/>
  <c r="G88" i="13"/>
  <c r="AE11" i="10"/>
  <c r="AF11" i="10"/>
  <c r="E46" i="8"/>
  <c r="K245" i="11"/>
  <c r="E50" i="8"/>
  <c r="K229" i="11"/>
  <c r="I300" i="11"/>
  <c r="K211" i="11"/>
  <c r="F47" i="8"/>
  <c r="E63" i="11"/>
  <c r="C52" i="8"/>
  <c r="H29" i="11"/>
  <c r="F29" i="11"/>
  <c r="G29" i="11" s="1"/>
  <c r="L29" i="11"/>
  <c r="J29" i="11"/>
  <c r="D29" i="11"/>
  <c r="L376" i="11"/>
  <c r="M376" i="11"/>
  <c r="I296" i="11"/>
  <c r="I328" i="11"/>
  <c r="X357" i="11"/>
  <c r="J142" i="11"/>
  <c r="D50" i="8"/>
  <c r="J262" i="11"/>
  <c r="J255" i="11"/>
  <c r="K255" i="11" s="1"/>
  <c r="I308" i="11"/>
  <c r="J311" i="11" s="1"/>
  <c r="J188" i="11"/>
  <c r="I340" i="11"/>
  <c r="C80" i="13"/>
  <c r="C80" i="14"/>
  <c r="D49" i="8"/>
  <c r="J203" i="11"/>
  <c r="B49" i="8"/>
  <c r="J7" i="11"/>
  <c r="H7" i="11"/>
  <c r="N7" i="11"/>
  <c r="L7" i="11"/>
  <c r="F7" i="11"/>
  <c r="G7" i="11" s="1"/>
  <c r="D7" i="11"/>
  <c r="I295" i="11"/>
  <c r="C44" i="8"/>
  <c r="C51" i="8" s="1"/>
  <c r="C45" i="8"/>
  <c r="H67" i="13"/>
  <c r="H67" i="14"/>
  <c r="O383" i="11"/>
  <c r="I299" i="11"/>
  <c r="M375" i="11"/>
  <c r="L375" i="11"/>
  <c r="J156" i="11"/>
  <c r="K156" i="11" s="1"/>
  <c r="K97" i="11"/>
  <c r="K106" i="11"/>
  <c r="J248" i="11"/>
  <c r="C81" i="13"/>
  <c r="C81" i="14"/>
  <c r="C76" i="14"/>
  <c r="C76" i="13"/>
  <c r="H64" i="14"/>
  <c r="H64" i="13"/>
  <c r="O376" i="11"/>
  <c r="J241" i="11"/>
  <c r="E44" i="8"/>
  <c r="L25" i="11"/>
  <c r="M25" i="11" s="1"/>
  <c r="J25" i="11"/>
  <c r="H25" i="11"/>
  <c r="F25" i="11"/>
  <c r="D25" i="11"/>
  <c r="J168" i="11"/>
  <c r="I326" i="11"/>
  <c r="J326" i="11" s="1"/>
  <c r="H61" i="13"/>
  <c r="H61" i="14"/>
  <c r="O381" i="11"/>
  <c r="J263" i="11"/>
  <c r="K98" i="11"/>
  <c r="D58" i="11" s="1"/>
  <c r="E58" i="11"/>
  <c r="D83" i="14"/>
  <c r="C97" i="14"/>
  <c r="C97" i="13"/>
  <c r="D83" i="13"/>
  <c r="B14" i="12"/>
  <c r="G12" i="8"/>
  <c r="AE14" i="7"/>
  <c r="K94" i="11"/>
  <c r="F50" i="8"/>
  <c r="C77" i="13"/>
  <c r="C77" i="14"/>
  <c r="K113" i="11"/>
  <c r="D59" i="11" s="1"/>
  <c r="C83" i="14"/>
  <c r="C83" i="13"/>
  <c r="H65" i="13"/>
  <c r="H65" i="14"/>
  <c r="O377" i="11"/>
  <c r="H56" i="13"/>
  <c r="O373" i="11"/>
  <c r="B390" i="11" s="1"/>
  <c r="H56" i="14"/>
  <c r="B389" i="11"/>
  <c r="I332" i="11"/>
  <c r="X359" i="11"/>
  <c r="I280" i="11"/>
  <c r="H60" i="14"/>
  <c r="O382" i="11"/>
  <c r="H60" i="13"/>
  <c r="E48" i="8"/>
  <c r="K213" i="11"/>
  <c r="J139" i="11"/>
  <c r="K139" i="11" s="1"/>
  <c r="X360" i="11"/>
  <c r="K200" i="11"/>
  <c r="E67" i="11"/>
  <c r="H59" i="13"/>
  <c r="H59" i="14"/>
  <c r="O378" i="11"/>
  <c r="E43" i="8"/>
  <c r="K181" i="11"/>
  <c r="J81" i="11"/>
  <c r="H66" i="14"/>
  <c r="O384" i="11"/>
  <c r="H66" i="13"/>
  <c r="E57" i="11"/>
  <c r="J15" i="11"/>
  <c r="H15" i="11"/>
  <c r="I15" i="11" s="1"/>
  <c r="N15" i="11"/>
  <c r="L15" i="11"/>
  <c r="F15" i="11"/>
  <c r="D15" i="11"/>
  <c r="C72" i="14"/>
  <c r="C72" i="13"/>
  <c r="F408" i="11"/>
  <c r="F403" i="11"/>
  <c r="F401" i="11"/>
  <c r="F406" i="11"/>
  <c r="F400" i="11"/>
  <c r="F404" i="11"/>
  <c r="F407" i="11"/>
  <c r="F402" i="11"/>
  <c r="F399" i="11"/>
  <c r="F405" i="11"/>
  <c r="J224" i="11"/>
  <c r="K224" i="11" s="1"/>
  <c r="K95" i="11"/>
  <c r="H62" i="13"/>
  <c r="H62" i="14"/>
  <c r="O375" i="11"/>
  <c r="J123" i="11"/>
  <c r="D48" i="8"/>
  <c r="K96" i="11"/>
  <c r="G92" i="14"/>
  <c r="G92" i="13"/>
  <c r="AF6" i="10"/>
  <c r="AE6" i="10"/>
  <c r="E60" i="11"/>
  <c r="I297" i="11"/>
  <c r="I287" i="11"/>
  <c r="D41" i="8"/>
  <c r="C82" i="14"/>
  <c r="C82" i="13"/>
  <c r="D72" i="14"/>
  <c r="D72" i="13"/>
  <c r="B4" i="12"/>
  <c r="AE4" i="7"/>
  <c r="K138" i="11"/>
  <c r="X366" i="11"/>
  <c r="AD15" i="7"/>
  <c r="AF14" i="7" s="1"/>
  <c r="K90" i="11"/>
  <c r="F44" i="8"/>
  <c r="K143" i="11"/>
  <c r="D61" i="11" s="1"/>
  <c r="E61" i="11"/>
  <c r="C78" i="14"/>
  <c r="C78" i="13"/>
  <c r="J243" i="11"/>
  <c r="K243" i="11" s="1"/>
  <c r="K89" i="11"/>
  <c r="AD8" i="7"/>
  <c r="AF7" i="7" s="1"/>
  <c r="I302" i="11"/>
  <c r="J302" i="11" s="1"/>
  <c r="I341" i="11"/>
  <c r="J341" i="11" s="1"/>
  <c r="B47" i="8"/>
  <c r="AD5" i="7"/>
  <c r="C403" i="11"/>
  <c r="C405" i="11"/>
  <c r="C400" i="11"/>
  <c r="C408" i="11"/>
  <c r="C401" i="11"/>
  <c r="C407" i="11"/>
  <c r="C402" i="11"/>
  <c r="C404" i="11"/>
  <c r="C399" i="11"/>
  <c r="C406" i="11"/>
  <c r="K109" i="11"/>
  <c r="K199" i="11"/>
  <c r="C75" i="14"/>
  <c r="C75" i="13"/>
  <c r="K218" i="11"/>
  <c r="D66" i="11" s="1"/>
  <c r="E66" i="11"/>
  <c r="K141" i="11"/>
  <c r="K198" i="11"/>
  <c r="D99" i="13"/>
  <c r="D99" i="14"/>
  <c r="D23" i="8"/>
  <c r="D32" i="8"/>
  <c r="D27" i="8"/>
  <c r="D26" i="8"/>
  <c r="D24" i="8"/>
  <c r="D30" i="8"/>
  <c r="D28" i="8"/>
  <c r="D25" i="8"/>
  <c r="D31" i="8"/>
  <c r="D29" i="8"/>
  <c r="E408" i="11"/>
  <c r="E403" i="11"/>
  <c r="E401" i="11"/>
  <c r="E406" i="11"/>
  <c r="E405" i="11"/>
  <c r="E404" i="11"/>
  <c r="E402" i="11"/>
  <c r="E400" i="11"/>
  <c r="E407" i="11"/>
  <c r="E399" i="11"/>
  <c r="J227" i="11"/>
  <c r="D130" i="14"/>
  <c r="D130" i="13"/>
  <c r="I279" i="11"/>
  <c r="J282" i="11" s="1"/>
  <c r="J151" i="11"/>
  <c r="K149" i="11" s="1"/>
  <c r="X361" i="11"/>
  <c r="X362" i="11"/>
  <c r="K228" i="11"/>
  <c r="K152" i="11"/>
  <c r="J8" i="11"/>
  <c r="K8" i="11" s="1"/>
  <c r="H8" i="11"/>
  <c r="N8" i="11"/>
  <c r="L8" i="11"/>
  <c r="F8" i="11"/>
  <c r="D8" i="11"/>
  <c r="I312" i="11"/>
  <c r="J312" i="11" s="1"/>
  <c r="D45" i="8"/>
  <c r="F48" i="8"/>
  <c r="B43" i="8"/>
  <c r="I317" i="11"/>
  <c r="J257" i="11"/>
  <c r="B41" i="8"/>
  <c r="K105" i="11"/>
  <c r="D47" i="8"/>
  <c r="K110" i="11"/>
  <c r="G91" i="13"/>
  <c r="G91" i="14"/>
  <c r="AE12" i="10"/>
  <c r="AF12" i="10"/>
  <c r="D33" i="11"/>
  <c r="E33" i="11" s="1"/>
  <c r="F33" i="11"/>
  <c r="L33" i="11"/>
  <c r="J33" i="11"/>
  <c r="H33" i="11"/>
  <c r="I33" i="11" s="1"/>
  <c r="F41" i="8"/>
  <c r="J172" i="11"/>
  <c r="K172" i="11" s="1"/>
  <c r="J76" i="11"/>
  <c r="K76" i="11" s="1"/>
  <c r="I36" i="11"/>
  <c r="G36" i="11"/>
  <c r="E36" i="11"/>
  <c r="M36" i="11"/>
  <c r="K36" i="11"/>
  <c r="J179" i="11"/>
  <c r="K179" i="11" s="1"/>
  <c r="J120" i="11"/>
  <c r="K120" i="11" s="1"/>
  <c r="H26" i="11"/>
  <c r="F26" i="11"/>
  <c r="D26" i="11"/>
  <c r="L26" i="11"/>
  <c r="J26" i="11"/>
  <c r="K26" i="11" s="1"/>
  <c r="I283" i="11"/>
  <c r="J283" i="11" s="1"/>
  <c r="I344" i="11"/>
  <c r="J183" i="11"/>
  <c r="B18" i="8"/>
  <c r="A97" i="14" l="1"/>
  <c r="A97" i="13"/>
  <c r="A94" i="14"/>
  <c r="A94" i="13"/>
  <c r="K261" i="11"/>
  <c r="K81" i="11"/>
  <c r="K125" i="11"/>
  <c r="E83" i="13"/>
  <c r="N383" i="11"/>
  <c r="E83" i="14"/>
  <c r="K203" i="11"/>
  <c r="D65" i="11" s="1"/>
  <c r="E65" i="11"/>
  <c r="J328" i="11"/>
  <c r="K225" i="11"/>
  <c r="E32" i="11"/>
  <c r="J346" i="11"/>
  <c r="E31" i="11"/>
  <c r="K158" i="11"/>
  <c r="D62" i="11" s="1"/>
  <c r="E62" i="11"/>
  <c r="I27" i="11"/>
  <c r="K164" i="11"/>
  <c r="I14" i="11"/>
  <c r="B124" i="13"/>
  <c r="B124" i="14"/>
  <c r="B17" i="12"/>
  <c r="E80" i="14"/>
  <c r="E80" i="13"/>
  <c r="N376" i="11"/>
  <c r="J296" i="11"/>
  <c r="AF11" i="7"/>
  <c r="G32" i="11"/>
  <c r="K78" i="11"/>
  <c r="G31" i="11"/>
  <c r="K150" i="11"/>
  <c r="J339" i="11"/>
  <c r="K27" i="11"/>
  <c r="G9" i="11"/>
  <c r="H94" i="14"/>
  <c r="H94" i="13"/>
  <c r="K14" i="11"/>
  <c r="D81" i="13"/>
  <c r="C95" i="14"/>
  <c r="D81" i="14"/>
  <c r="C95" i="13"/>
  <c r="B8" i="12"/>
  <c r="G6" i="8"/>
  <c r="AF8" i="7"/>
  <c r="AE8" i="7"/>
  <c r="K168" i="11"/>
  <c r="K77" i="11"/>
  <c r="K173" i="11"/>
  <c r="D63" i="11" s="1"/>
  <c r="J347" i="11"/>
  <c r="E74" i="14"/>
  <c r="E74" i="13"/>
  <c r="N380" i="11"/>
  <c r="I32" i="11"/>
  <c r="K31" i="11"/>
  <c r="J313" i="11"/>
  <c r="M27" i="11"/>
  <c r="M9" i="11"/>
  <c r="K135" i="11"/>
  <c r="C410" i="11"/>
  <c r="H405" i="11" s="1"/>
  <c r="C409" i="11"/>
  <c r="E72" i="13"/>
  <c r="E72" i="14"/>
  <c r="N373" i="11"/>
  <c r="K128" i="11"/>
  <c r="D60" i="11" s="1"/>
  <c r="J315" i="11"/>
  <c r="E15" i="11"/>
  <c r="K185" i="11"/>
  <c r="B129" i="14"/>
  <c r="B129" i="13"/>
  <c r="E25" i="11"/>
  <c r="C99" i="13"/>
  <c r="C99" i="14"/>
  <c r="C32" i="8"/>
  <c r="C27" i="8"/>
  <c r="C26" i="8"/>
  <c r="C24" i="8"/>
  <c r="C30" i="8"/>
  <c r="C28" i="8"/>
  <c r="C23" i="8"/>
  <c r="C31" i="8"/>
  <c r="C29" i="8"/>
  <c r="C25" i="8"/>
  <c r="K134" i="11"/>
  <c r="K32" i="11"/>
  <c r="M31" i="11"/>
  <c r="K170" i="11"/>
  <c r="E27" i="11"/>
  <c r="O9" i="11"/>
  <c r="D410" i="11"/>
  <c r="D409" i="11"/>
  <c r="K126" i="11"/>
  <c r="K79" i="11"/>
  <c r="B126" i="13"/>
  <c r="B126" i="14"/>
  <c r="F52" i="8"/>
  <c r="F51" i="8"/>
  <c r="K258" i="11"/>
  <c r="K33" i="11"/>
  <c r="D34" i="8"/>
  <c r="D33" i="8"/>
  <c r="B118" i="14"/>
  <c r="B118" i="13"/>
  <c r="J323" i="11"/>
  <c r="F410" i="11"/>
  <c r="F409" i="11"/>
  <c r="G15" i="11"/>
  <c r="J325" i="11"/>
  <c r="K165" i="11"/>
  <c r="G25" i="11"/>
  <c r="K248" i="11"/>
  <c r="D68" i="11" s="1"/>
  <c r="E68" i="11"/>
  <c r="J340" i="11"/>
  <c r="E29" i="11"/>
  <c r="K256" i="11"/>
  <c r="O6" i="11"/>
  <c r="B120" i="14"/>
  <c r="B120" i="13"/>
  <c r="M32" i="11"/>
  <c r="E52" i="8"/>
  <c r="E51" i="8"/>
  <c r="J281" i="11"/>
  <c r="J343" i="11"/>
  <c r="J285" i="11"/>
  <c r="E9" i="11"/>
  <c r="E11" i="11"/>
  <c r="M26" i="11"/>
  <c r="K257" i="11"/>
  <c r="K169" i="11"/>
  <c r="E26" i="11"/>
  <c r="J317" i="11"/>
  <c r="G26" i="11"/>
  <c r="M33" i="11"/>
  <c r="I26" i="11"/>
  <c r="G33" i="11"/>
  <c r="K82" i="11"/>
  <c r="M15" i="11"/>
  <c r="K182" i="11"/>
  <c r="J342" i="11"/>
  <c r="I25" i="11"/>
  <c r="J295" i="11"/>
  <c r="K188" i="11"/>
  <c r="D64" i="11" s="1"/>
  <c r="E64" i="11"/>
  <c r="K29" i="11"/>
  <c r="K119" i="11"/>
  <c r="K195" i="11"/>
  <c r="M6" i="11"/>
  <c r="J310" i="11"/>
  <c r="J330" i="11"/>
  <c r="E30" i="11"/>
  <c r="D79" i="14"/>
  <c r="C93" i="14"/>
  <c r="C93" i="13"/>
  <c r="D79" i="13"/>
  <c r="B10" i="12"/>
  <c r="AF10" i="7"/>
  <c r="G8" i="8"/>
  <c r="AE10" i="7"/>
  <c r="K214" i="11"/>
  <c r="AF9" i="7"/>
  <c r="I9" i="11"/>
  <c r="G11" i="11"/>
  <c r="K151" i="11"/>
  <c r="H92" i="14"/>
  <c r="H92" i="13"/>
  <c r="K123" i="11"/>
  <c r="O15" i="11"/>
  <c r="K233" i="11"/>
  <c r="D67" i="11" s="1"/>
  <c r="K25" i="11"/>
  <c r="E7" i="11"/>
  <c r="J308" i="11"/>
  <c r="M29" i="11"/>
  <c r="J300" i="11"/>
  <c r="K184" i="11"/>
  <c r="E6" i="11"/>
  <c r="E99" i="14"/>
  <c r="E99" i="13"/>
  <c r="E26" i="8"/>
  <c r="E30" i="8"/>
  <c r="E25" i="8"/>
  <c r="E28" i="8"/>
  <c r="E32" i="8"/>
  <c r="E23" i="8"/>
  <c r="E24" i="8"/>
  <c r="E31" i="8"/>
  <c r="E29" i="8"/>
  <c r="E27" i="8"/>
  <c r="K216" i="11"/>
  <c r="K215" i="11"/>
  <c r="O10" i="11"/>
  <c r="G30" i="11"/>
  <c r="K194" i="11"/>
  <c r="K259" i="11"/>
  <c r="J324" i="11"/>
  <c r="E75" i="14"/>
  <c r="E75" i="13"/>
  <c r="N378" i="11"/>
  <c r="K9" i="11"/>
  <c r="M11" i="11"/>
  <c r="F99" i="13"/>
  <c r="F99" i="14"/>
  <c r="F29" i="8"/>
  <c r="F30" i="8"/>
  <c r="F25" i="8"/>
  <c r="F32" i="8"/>
  <c r="F23" i="8"/>
  <c r="F24" i="8"/>
  <c r="F28" i="8"/>
  <c r="F26" i="8"/>
  <c r="F27" i="8"/>
  <c r="F31" i="8"/>
  <c r="H93" i="14"/>
  <c r="H93" i="13"/>
  <c r="I6" i="11"/>
  <c r="E12" i="11"/>
  <c r="G10" i="11"/>
  <c r="I30" i="11"/>
  <c r="O13" i="11"/>
  <c r="AF13" i="7"/>
  <c r="AF12" i="7"/>
  <c r="I11" i="11"/>
  <c r="AF6" i="7"/>
  <c r="B52" i="8"/>
  <c r="H45" i="8" s="1"/>
  <c r="B51" i="8"/>
  <c r="G42" i="8" s="1"/>
  <c r="H95" i="14"/>
  <c r="H95" i="13"/>
  <c r="E8" i="11"/>
  <c r="K137" i="11"/>
  <c r="J280" i="11"/>
  <c r="K154" i="11"/>
  <c r="K231" i="11"/>
  <c r="K180" i="11"/>
  <c r="I29" i="11"/>
  <c r="B99" i="14"/>
  <c r="B99" i="13"/>
  <c r="B31" i="8"/>
  <c r="B32" i="8"/>
  <c r="B27" i="8"/>
  <c r="B26" i="8"/>
  <c r="B24" i="8"/>
  <c r="B30" i="8"/>
  <c r="B28" i="8"/>
  <c r="B29" i="8"/>
  <c r="B23" i="8"/>
  <c r="B25" i="8"/>
  <c r="K260" i="11"/>
  <c r="J345" i="11"/>
  <c r="J278" i="11"/>
  <c r="K166" i="11"/>
  <c r="K241" i="11"/>
  <c r="O7" i="11"/>
  <c r="K75" i="11"/>
  <c r="K201" i="11"/>
  <c r="K6" i="11"/>
  <c r="I28" i="11"/>
  <c r="G12" i="11"/>
  <c r="I24" i="11"/>
  <c r="M10" i="11"/>
  <c r="K30" i="11"/>
  <c r="E13" i="11"/>
  <c r="K11" i="11"/>
  <c r="H96" i="14"/>
  <c r="H96" i="13"/>
  <c r="M7" i="11"/>
  <c r="G24" i="11"/>
  <c r="G8" i="11"/>
  <c r="K171" i="11"/>
  <c r="M8" i="11"/>
  <c r="J316" i="11"/>
  <c r="D52" i="8"/>
  <c r="H49" i="8" s="1"/>
  <c r="D51" i="8"/>
  <c r="G47" i="8" s="1"/>
  <c r="K196" i="11"/>
  <c r="K217" i="11"/>
  <c r="K83" i="11"/>
  <c r="D57" i="11" s="1"/>
  <c r="J332" i="11"/>
  <c r="J286" i="11"/>
  <c r="J299" i="11"/>
  <c r="I7" i="11"/>
  <c r="K262" i="11"/>
  <c r="K187" i="11"/>
  <c r="H90" i="14"/>
  <c r="H90" i="13"/>
  <c r="K244" i="11"/>
  <c r="K28" i="11"/>
  <c r="M12" i="11"/>
  <c r="K24" i="11"/>
  <c r="I10" i="11"/>
  <c r="G13" i="11"/>
  <c r="E77" i="14"/>
  <c r="E77" i="13"/>
  <c r="N381" i="11"/>
  <c r="E14" i="11"/>
  <c r="E78" i="14"/>
  <c r="E78" i="13"/>
  <c r="N375" i="11"/>
  <c r="D8" i="9"/>
  <c r="D10" i="9"/>
  <c r="C7" i="9"/>
  <c r="C4" i="9"/>
  <c r="C10" i="9"/>
  <c r="D7" i="9"/>
  <c r="D6" i="9"/>
  <c r="C6" i="9"/>
  <c r="D9" i="9"/>
  <c r="C8" i="9"/>
  <c r="D4" i="9"/>
  <c r="D5" i="9"/>
  <c r="C5" i="9"/>
  <c r="C9" i="9"/>
  <c r="C96" i="13"/>
  <c r="C96" i="14"/>
  <c r="D82" i="14"/>
  <c r="B15" i="12"/>
  <c r="D82" i="13"/>
  <c r="G13" i="8"/>
  <c r="AE15" i="7"/>
  <c r="AF15" i="7"/>
  <c r="H91" i="14"/>
  <c r="H91" i="13"/>
  <c r="J279" i="11"/>
  <c r="J331" i="11"/>
  <c r="G6" i="11"/>
  <c r="K153" i="11"/>
  <c r="M28" i="11"/>
  <c r="K121" i="11"/>
  <c r="O12" i="11"/>
  <c r="M24" i="11"/>
  <c r="K10" i="11"/>
  <c r="I13" i="11"/>
  <c r="K140" i="11"/>
  <c r="B123" i="14"/>
  <c r="B123" i="13"/>
  <c r="G14" i="11"/>
  <c r="H89" i="14"/>
  <c r="H89" i="13"/>
  <c r="J284" i="11"/>
  <c r="E24" i="11"/>
  <c r="M30" i="11"/>
  <c r="E76" i="13"/>
  <c r="E76" i="14"/>
  <c r="N382" i="11"/>
  <c r="B121" i="14"/>
  <c r="B121" i="13"/>
  <c r="K155" i="11"/>
  <c r="J294" i="11"/>
  <c r="K15" i="11"/>
  <c r="K183" i="11"/>
  <c r="J309" i="11"/>
  <c r="O8" i="11"/>
  <c r="J287" i="11"/>
  <c r="K157" i="11"/>
  <c r="K136" i="11"/>
  <c r="H407" i="11"/>
  <c r="K80" i="11"/>
  <c r="J327" i="11"/>
  <c r="K263" i="11"/>
  <c r="D69" i="11" s="1"/>
  <c r="E69" i="11"/>
  <c r="H401" i="11"/>
  <c r="K7" i="11"/>
  <c r="K167" i="11"/>
  <c r="J344" i="11"/>
  <c r="I8" i="11"/>
  <c r="K227" i="11"/>
  <c r="D73" i="14"/>
  <c r="D73" i="13"/>
  <c r="B5" i="12"/>
  <c r="AE5" i="7"/>
  <c r="J297" i="11"/>
  <c r="J301" i="11"/>
  <c r="J298" i="11"/>
  <c r="K226" i="11"/>
  <c r="K142" i="11"/>
  <c r="J329" i="11"/>
  <c r="K210" i="11"/>
  <c r="E28" i="11"/>
  <c r="K254" i="11"/>
  <c r="I12" i="11"/>
  <c r="K246" i="11"/>
  <c r="K127" i="11"/>
  <c r="K74" i="11"/>
  <c r="K13" i="11"/>
  <c r="J338" i="11"/>
  <c r="B122" i="14"/>
  <c r="B122" i="13"/>
  <c r="K202" i="11"/>
  <c r="M14" i="11"/>
  <c r="K124" i="11"/>
  <c r="K122" i="11"/>
  <c r="K186" i="11"/>
  <c r="E409" i="11"/>
  <c r="G407" i="11" s="1"/>
  <c r="E410" i="11"/>
  <c r="H404" i="11" s="1"/>
  <c r="H47" i="8"/>
  <c r="J293" i="11"/>
  <c r="K240" i="11"/>
  <c r="J314" i="11"/>
  <c r="K197" i="11"/>
  <c r="H88" i="14"/>
  <c r="H88" i="13"/>
  <c r="K239" i="11"/>
  <c r="G28" i="11"/>
  <c r="K12" i="11"/>
  <c r="I31" i="11"/>
  <c r="H46" i="8"/>
  <c r="G46" i="8"/>
  <c r="K232" i="11"/>
  <c r="G27" i="11"/>
  <c r="K230" i="11"/>
  <c r="K212" i="11"/>
  <c r="O14" i="11"/>
  <c r="G49" i="8" l="1"/>
  <c r="I49" i="8" s="1"/>
  <c r="N384" i="11"/>
  <c r="E82" i="14"/>
  <c r="E82" i="13"/>
  <c r="D9" i="16"/>
  <c r="D153" i="14"/>
  <c r="D153" i="13"/>
  <c r="C151" i="14"/>
  <c r="C151" i="13"/>
  <c r="C7" i="16"/>
  <c r="F4" i="9"/>
  <c r="B128" i="14"/>
  <c r="B128" i="13"/>
  <c r="H41" i="8"/>
  <c r="G405" i="11"/>
  <c r="I405" i="11" s="1"/>
  <c r="C10" i="16"/>
  <c r="C154" i="13"/>
  <c r="C154" i="14"/>
  <c r="F7" i="9"/>
  <c r="H399" i="11"/>
  <c r="I399" i="11" s="1"/>
  <c r="A92" i="14"/>
  <c r="B385" i="11"/>
  <c r="B334" i="11"/>
  <c r="C272" i="11" s="1"/>
  <c r="B368" i="11"/>
  <c r="B333" i="11"/>
  <c r="B272" i="11" s="1"/>
  <c r="B367" i="11"/>
  <c r="B349" i="11"/>
  <c r="C273" i="11" s="1"/>
  <c r="B348" i="11"/>
  <c r="B273" i="11" s="1"/>
  <c r="B265" i="11"/>
  <c r="C69" i="11" s="1"/>
  <c r="B130" i="11"/>
  <c r="C60" i="11" s="1"/>
  <c r="B264" i="11"/>
  <c r="B69" i="11" s="1"/>
  <c r="B319" i="11"/>
  <c r="C271" i="11" s="1"/>
  <c r="B204" i="11"/>
  <c r="B65" i="11" s="1"/>
  <c r="B175" i="11"/>
  <c r="C63" i="11" s="1"/>
  <c r="A92" i="13"/>
  <c r="B386" i="11"/>
  <c r="B318" i="11"/>
  <c r="B271" i="11" s="1"/>
  <c r="B174" i="11"/>
  <c r="B63" i="11" s="1"/>
  <c r="E35" i="11"/>
  <c r="B303" i="11"/>
  <c r="B270" i="11" s="1"/>
  <c r="B219" i="11"/>
  <c r="B66" i="11" s="1"/>
  <c r="B159" i="11"/>
  <c r="B62" i="11" s="1"/>
  <c r="B289" i="11"/>
  <c r="C269" i="11" s="1"/>
  <c r="B288" i="11"/>
  <c r="B100" i="11"/>
  <c r="C58" i="11" s="1"/>
  <c r="B52" i="11"/>
  <c r="G35" i="11"/>
  <c r="K17" i="11"/>
  <c r="B99" i="11"/>
  <c r="B58" i="11" s="1"/>
  <c r="B51" i="11"/>
  <c r="M34" i="11"/>
  <c r="I17" i="11"/>
  <c r="B220" i="11"/>
  <c r="C66" i="11" s="1"/>
  <c r="K34" i="11"/>
  <c r="G17" i="11"/>
  <c r="B235" i="11"/>
  <c r="C67" i="11" s="1"/>
  <c r="B115" i="11"/>
  <c r="C59" i="11" s="1"/>
  <c r="I34" i="11"/>
  <c r="E17" i="11"/>
  <c r="B249" i="11"/>
  <c r="B68" i="11" s="1"/>
  <c r="K16" i="11"/>
  <c r="B234" i="11"/>
  <c r="B67" i="11" s="1"/>
  <c r="B190" i="11"/>
  <c r="C64" i="11" s="1"/>
  <c r="I16" i="11"/>
  <c r="B189" i="11"/>
  <c r="B64" i="11" s="1"/>
  <c r="G16" i="11"/>
  <c r="M35" i="11"/>
  <c r="E16" i="11"/>
  <c r="K35" i="11"/>
  <c r="B129" i="11"/>
  <c r="B60" i="11" s="1"/>
  <c r="I35" i="11"/>
  <c r="G34" i="11"/>
  <c r="B18" i="10"/>
  <c r="E34" i="11"/>
  <c r="B160" i="11"/>
  <c r="C62" i="11" s="1"/>
  <c r="B304" i="11"/>
  <c r="C270" i="11" s="1"/>
  <c r="B85" i="11"/>
  <c r="C57" i="11" s="1"/>
  <c r="B145" i="11"/>
  <c r="C61" i="11" s="1"/>
  <c r="B114" i="11"/>
  <c r="B59" i="11" s="1"/>
  <c r="O16" i="11"/>
  <c r="M16" i="11"/>
  <c r="B84" i="11"/>
  <c r="B144" i="11"/>
  <c r="B61" i="11" s="1"/>
  <c r="O17" i="11"/>
  <c r="B250" i="11"/>
  <c r="C68" i="11" s="1"/>
  <c r="B205" i="11"/>
  <c r="C65" i="11" s="1"/>
  <c r="M17" i="11"/>
  <c r="G43" i="8"/>
  <c r="B130" i="14"/>
  <c r="B130" i="13"/>
  <c r="D13" i="16"/>
  <c r="D157" i="14"/>
  <c r="D157" i="13"/>
  <c r="H43" i="8"/>
  <c r="G45" i="8"/>
  <c r="I45" i="8" s="1"/>
  <c r="G403" i="11"/>
  <c r="G402" i="11"/>
  <c r="G404" i="11"/>
  <c r="I404" i="11" s="1"/>
  <c r="G400" i="11"/>
  <c r="G406" i="11"/>
  <c r="D11" i="16"/>
  <c r="D155" i="14"/>
  <c r="D155" i="13"/>
  <c r="H400" i="11"/>
  <c r="I400" i="11" s="1"/>
  <c r="A91" i="14"/>
  <c r="A91" i="13"/>
  <c r="F34" i="8"/>
  <c r="F33" i="8"/>
  <c r="H42" i="8"/>
  <c r="I42" i="8" s="1"/>
  <c r="C156" i="14"/>
  <c r="C12" i="16"/>
  <c r="C156" i="13"/>
  <c r="F9" i="9"/>
  <c r="H403" i="11"/>
  <c r="I403" i="11" s="1"/>
  <c r="E73" i="14"/>
  <c r="E73" i="13"/>
  <c r="N374" i="11"/>
  <c r="B387" i="11" s="1"/>
  <c r="I47" i="8"/>
  <c r="B119" i="13"/>
  <c r="B119" i="14"/>
  <c r="I46" i="8"/>
  <c r="G399" i="11"/>
  <c r="A90" i="14"/>
  <c r="A90" i="13"/>
  <c r="C8" i="16"/>
  <c r="C152" i="14"/>
  <c r="C152" i="13"/>
  <c r="F5" i="9"/>
  <c r="B33" i="8"/>
  <c r="G26" i="8" s="1"/>
  <c r="B34" i="8"/>
  <c r="H24" i="8" s="1"/>
  <c r="I24" i="8" s="1"/>
  <c r="H408" i="11"/>
  <c r="H402" i="11"/>
  <c r="H406" i="11"/>
  <c r="E81" i="14"/>
  <c r="N377" i="11"/>
  <c r="E81" i="13"/>
  <c r="G28" i="8"/>
  <c r="A89" i="14"/>
  <c r="A89" i="13"/>
  <c r="A95" i="14"/>
  <c r="A95" i="13"/>
  <c r="D7" i="16"/>
  <c r="D151" i="14"/>
  <c r="D151" i="13"/>
  <c r="C11" i="16"/>
  <c r="C155" i="14"/>
  <c r="C155" i="13"/>
  <c r="F8" i="9"/>
  <c r="G408" i="11"/>
  <c r="D156" i="14"/>
  <c r="D12" i="16"/>
  <c r="D156" i="13"/>
  <c r="G24" i="8"/>
  <c r="E79" i="13"/>
  <c r="E79" i="14"/>
  <c r="N379" i="11"/>
  <c r="B127" i="14"/>
  <c r="B127" i="13"/>
  <c r="I407" i="11"/>
  <c r="A96" i="14"/>
  <c r="A96" i="13"/>
  <c r="C9" i="16"/>
  <c r="C153" i="13"/>
  <c r="C153" i="14"/>
  <c r="F6" i="9"/>
  <c r="C34" i="8"/>
  <c r="C33" i="8"/>
  <c r="A88" i="14"/>
  <c r="A88" i="13"/>
  <c r="A93" i="14"/>
  <c r="A93" i="13"/>
  <c r="G401" i="11"/>
  <c r="I401" i="11" s="1"/>
  <c r="D10" i="16"/>
  <c r="D154" i="13"/>
  <c r="D154" i="14"/>
  <c r="H50" i="8"/>
  <c r="I50" i="8" s="1"/>
  <c r="H48" i="8"/>
  <c r="H44" i="8"/>
  <c r="E34" i="8"/>
  <c r="E33" i="8"/>
  <c r="B125" i="14"/>
  <c r="B125" i="13"/>
  <c r="D8" i="16"/>
  <c r="D152" i="14"/>
  <c r="D152" i="13"/>
  <c r="G48" i="8"/>
  <c r="G50" i="8"/>
  <c r="G44" i="8"/>
  <c r="C13" i="16"/>
  <c r="C157" i="13"/>
  <c r="C157" i="14"/>
  <c r="F10" i="9"/>
  <c r="G41" i="8"/>
  <c r="D94" i="13" l="1"/>
  <c r="D94" i="14"/>
  <c r="C109" i="14"/>
  <c r="B109" i="13"/>
  <c r="C109" i="13"/>
  <c r="B109" i="14"/>
  <c r="C113" i="14"/>
  <c r="B113" i="14"/>
  <c r="B113" i="13"/>
  <c r="C113" i="13"/>
  <c r="H32" i="8"/>
  <c r="F154" i="14"/>
  <c r="F154" i="13"/>
  <c r="B108" i="14"/>
  <c r="C108" i="13"/>
  <c r="B108" i="13"/>
  <c r="C108" i="14"/>
  <c r="J47" i="8"/>
  <c r="G27" i="8"/>
  <c r="H27" i="8"/>
  <c r="H26" i="8"/>
  <c r="I26" i="8" s="1"/>
  <c r="F152" i="14"/>
  <c r="F152" i="13"/>
  <c r="H30" i="8"/>
  <c r="I30" i="8" s="1"/>
  <c r="H28" i="8"/>
  <c r="I28" i="8" s="1"/>
  <c r="F156" i="14"/>
  <c r="F156" i="13"/>
  <c r="B111" i="14"/>
  <c r="B111" i="13"/>
  <c r="C111" i="13"/>
  <c r="C111" i="14"/>
  <c r="B269" i="11"/>
  <c r="J400" i="11"/>
  <c r="G30" i="8"/>
  <c r="F155" i="13"/>
  <c r="F155" i="14"/>
  <c r="H23" i="8"/>
  <c r="I41" i="8"/>
  <c r="J49" i="8" s="1"/>
  <c r="G31" i="8"/>
  <c r="H31" i="8"/>
  <c r="F157" i="14"/>
  <c r="F157" i="13"/>
  <c r="C110" i="14"/>
  <c r="B110" i="14"/>
  <c r="C110" i="13"/>
  <c r="B110" i="13"/>
  <c r="B57" i="11"/>
  <c r="H25" i="8"/>
  <c r="I25" i="8" s="1"/>
  <c r="I406" i="11"/>
  <c r="G25" i="8"/>
  <c r="C107" i="14"/>
  <c r="B107" i="14"/>
  <c r="C107" i="13"/>
  <c r="B107" i="13"/>
  <c r="C112" i="13"/>
  <c r="B112" i="13"/>
  <c r="C112" i="14"/>
  <c r="B112" i="14"/>
  <c r="G29" i="8"/>
  <c r="H29" i="8"/>
  <c r="I44" i="8"/>
  <c r="I402" i="11"/>
  <c r="I43" i="8"/>
  <c r="F151" i="14"/>
  <c r="F151" i="13"/>
  <c r="F153" i="14"/>
  <c r="F153" i="13"/>
  <c r="G32" i="8"/>
  <c r="G23" i="8"/>
  <c r="I48" i="8"/>
  <c r="J48" i="8" s="1"/>
  <c r="I408" i="11"/>
  <c r="J408" i="11" s="1"/>
  <c r="J46" i="8"/>
  <c r="F97" i="13" l="1"/>
  <c r="F97" i="14"/>
  <c r="F88" i="14"/>
  <c r="F88" i="13"/>
  <c r="F91" i="13"/>
  <c r="F91" i="14"/>
  <c r="I31" i="8"/>
  <c r="J405" i="11"/>
  <c r="J41" i="8"/>
  <c r="J404" i="11"/>
  <c r="F90" i="13"/>
  <c r="F90" i="14"/>
  <c r="I23" i="8"/>
  <c r="J26" i="8" s="1"/>
  <c r="D90" i="13"/>
  <c r="D90" i="14"/>
  <c r="J43" i="8"/>
  <c r="I32" i="8"/>
  <c r="I27" i="8"/>
  <c r="D88" i="13"/>
  <c r="D88" i="14"/>
  <c r="J42" i="8"/>
  <c r="J401" i="11"/>
  <c r="J402" i="11"/>
  <c r="J406" i="11"/>
  <c r="J50" i="8"/>
  <c r="D95" i="14"/>
  <c r="D95" i="13"/>
  <c r="J407" i="11"/>
  <c r="D89" i="14"/>
  <c r="D89" i="13"/>
  <c r="J399" i="11"/>
  <c r="J44" i="8"/>
  <c r="I29" i="8"/>
  <c r="J403" i="11"/>
  <c r="J45" i="8"/>
  <c r="E89" i="14" l="1"/>
  <c r="E89" i="13"/>
  <c r="F93" i="13"/>
  <c r="F93" i="14"/>
  <c r="D91" i="14"/>
  <c r="D91" i="13"/>
  <c r="J29" i="8"/>
  <c r="F89" i="13"/>
  <c r="F89" i="14"/>
  <c r="D93" i="14"/>
  <c r="D93" i="13"/>
  <c r="J27" i="8"/>
  <c r="D96" i="13"/>
  <c r="D96" i="14"/>
  <c r="J32" i="8"/>
  <c r="D92" i="13"/>
  <c r="D92" i="14"/>
  <c r="J23" i="8"/>
  <c r="B61" i="8"/>
  <c r="J24" i="8"/>
  <c r="F92" i="14"/>
  <c r="F92" i="13"/>
  <c r="J28" i="8"/>
  <c r="D97" i="14"/>
  <c r="D97" i="13"/>
  <c r="J31" i="8"/>
  <c r="F94" i="13"/>
  <c r="F94" i="14"/>
  <c r="J30" i="8"/>
  <c r="F96" i="13"/>
  <c r="F96" i="14"/>
  <c r="B412" i="11"/>
  <c r="F95" i="13"/>
  <c r="F95" i="14"/>
  <c r="J25" i="8"/>
  <c r="E97" i="14" l="1"/>
  <c r="E97" i="13"/>
  <c r="E95" i="14"/>
  <c r="E95" i="13"/>
  <c r="E93" i="14"/>
  <c r="E93" i="13"/>
  <c r="E91" i="14"/>
  <c r="E91" i="13"/>
  <c r="E88" i="13"/>
  <c r="E88" i="14"/>
  <c r="E94" i="14"/>
  <c r="E94" i="13"/>
  <c r="E92" i="14"/>
  <c r="E92" i="13"/>
  <c r="B62" i="8"/>
  <c r="B60" i="8"/>
  <c r="B101" i="14"/>
  <c r="B101" i="13"/>
  <c r="E90" i="14"/>
  <c r="E90" i="13"/>
  <c r="E96" i="13"/>
  <c r="E96" i="14"/>
  <c r="B100" i="13" l="1"/>
  <c r="B100" i="14"/>
  <c r="B102" i="14"/>
  <c r="B102" i="13"/>
</calcChain>
</file>

<file path=xl/sharedStrings.xml><?xml version="1.0" encoding="utf-8"?>
<sst xmlns="http://schemas.openxmlformats.org/spreadsheetml/2006/main" count="1833" uniqueCount="514">
  <si>
    <t>UA-CEE workbook: hand-checkable calculations of the paper</t>
  </si>
  <si>
    <t>Every number on the calculation sheets is an Excel formula. Blue cells are values copied from the official API responses stored in data/raw (each row has its link); yellow cells on Parameters may be changed and every sheet recalculates.</t>
  </si>
  <si>
    <t>Sheets</t>
  </si>
  <si>
    <t>Parameters: weak-link penalty alpha and delta, maturity-level bounds, maximum year gap for the year-aligned check.</t>
  </si>
  <si>
    <t>Farm_EU_data: Eurostat IFS 2023, share of holdings using ten digital technologies, all and large holdings, all 27 member states and EU-27; the EU leader of each technology is found with MAX/INDEX/MATCH.</t>
  </si>
  <si>
    <t>Farm_UA_data: Derzhstat 2025, number of enterprises using each technology and number of enterprises with agricultural land; the Ukrainian share is an estimate (numerator and denominator come from different surveys). For the large-holding basis the four livestock technologies are divided by the number of enterprises keeping farm animals (Derzhstat, 2024), because the EU large-holding livestock shares are shares of livestock holdings.</t>
  </si>
  <si>
    <t>Farm_results: shares and ratios to the EU, median ratios, partial layer scores DM_C (robotics) and DM_L3 (nine precision technologies) for both EU bases.</t>
  </si>
  <si>
    <t>Processing_data: food processing (NACE C10-C12), 17 indicator pairs Eurostat / Derzhstat with the values of all 27 member states, EU-27 and Ukraine; leader (MAX) and minimum (MIN) over the member states.</t>
  </si>
  <si>
    <t>Processing_index: indicator scores P / P_leader, layer scores, ADMI_base, weakest layer, penalty, ADMI, maturity level, DM_I, DM_S and ranks.</t>
  </si>
  <si>
    <t>TOPSIS: robustness check with entropy and equal weights, Spearman and Pearson correlations with ADMI.</t>
  </si>
  <si>
    <t>Orientations: mean profiles of the CEE countries at levels 3 and 4 and the gap of Ukraine to level 3.</t>
  </si>
  <si>
    <t>Normalisation_check: the same index with min-max normalisation over the member states, ranks and Spearman correlation.</t>
  </si>
  <si>
    <t>Sensitivity: the ranking under alpha from 0 to 1, delta from 0.25 to 0.55, the geometric mean of the layers, each of the 13 indicators removed in turn, each of the five layers removed in turn, and the year-aligned subset of indicators; each variant gives the Spearman correlation with the baseline ranking and the number of units whose rank changed. The last section moves the device indicator (portable devices of employees) from L3 to L1 and reports the ranking, levels, weakest layers, penalised units and the agreement with TOPSIS on the moved layers.</t>
  </si>
  <si>
    <t>Transition_checks: two expectations from the transition literature: each unit relative to EU-27 for the processing ADMI and the farm partial layer scores (two-speed transformation), and the median ratio of the share among large holdings to the share among all holdings for robotics and the five crop technologies (concentration of adoption, dualism).</t>
  </si>
  <si>
    <t>Paper_tables: every table of the paper (Tables 1-8 and Appendix Tables A1-A2) in the order and shape of the paper; each number is a formula pointing to the calculation sheets.</t>
  </si>
  <si>
    <t>Paper_tables_UA: the same tables with Ukrainian captions, headers and labels (same formulas), for the Ukrainian version of the paper.</t>
  </si>
  <si>
    <t>Figure_1: ratio of the Ukrainian farm share to the EU-27 share for each technology, all and large holdings, log scale (Excel chart, data from Farm_results).</t>
  </si>
  <si>
    <t>Figure_2: layer profile of Ukrainian food processing against the mean profiles of level-3 and level-4 CEE countries and EU-27 (Excel chart, data from Processing_index and Orientations).</t>
  </si>
  <si>
    <t>On Figure_1 and Figure_2 the yellow cell B3 switches the chart labels between English (EN) and Ukrainian (UA). The charts use black and grey only and stay readable in black-and-white print.</t>
  </si>
  <si>
    <t>Rules</t>
  </si>
  <si>
    <t>Level = 1 + number of bounds strictly below the index rounded to 12 decimals; a value on a bound belongs to the lower level.</t>
  </si>
  <si>
    <t>Ranks: 1 = highest value, computed with COUNTIF. The median of ten ratios is the mean of the 5th and 6th smallest values.</t>
  </si>
  <si>
    <t>Missing values (not published) are left empty and skipped by AVERAGE, MAX and MIN.</t>
  </si>
  <si>
    <t>Verification</t>
  </si>
  <si>
    <t>Spearman correlations use 1 - 6 * sum(d^2) / (n (n^2 - 1)) with n = 10 (nine CEE countries and Ukraine).</t>
  </si>
  <si>
    <t>Parameters (yellow cells may be changed)</t>
  </si>
  <si>
    <t>alpha</t>
  </si>
  <si>
    <t>weak-link penalty strength</t>
  </si>
  <si>
    <t>delta</t>
  </si>
  <si>
    <t>weak-link threshold</t>
  </si>
  <si>
    <t>max_year_gap</t>
  </si>
  <si>
    <t>Sensitivity: largest allowed difference between the EU and Ukrainian years of an indicator pair</t>
  </si>
  <si>
    <t>level bounds</t>
  </si>
  <si>
    <t>Eurostat IFS 2023: share of holdings using the technology, % (holdings above the survey thresholds)</t>
  </si>
  <si>
    <t>all holdings</t>
  </si>
  <si>
    <t>Technology</t>
  </si>
  <si>
    <t>Eurostat dataset</t>
  </si>
  <si>
    <t>Code</t>
  </si>
  <si>
    <t>AT</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</si>
  <si>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</si>
  <si>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</si>
  <si>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</si>
  <si>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</si>
  <si>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</si>
  <si>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</si>
  <si>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</si>
  <si>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</si>
  <si>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</si>
  <si>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</si>
  <si>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</si>
  <si>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</si>
  <si>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</si>
  <si>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</si>
  <si>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</si>
  <si>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</si>
  <si>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</si>
  <si>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</si>
  <si>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</si>
  <si>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</si>
  <si>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</si>
  <si>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</si>
  <si>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</si>
  <si>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</si>
  <si>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</si>
  <si>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</si>
  <si>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EU27_2020</t>
  </si>
  <si>
    <t>Leader value</t>
  </si>
  <si>
    <t>Leader</t>
  </si>
  <si>
    <t>Link</t>
  </si>
  <si>
    <t>ROBOTICS</t>
  </si>
  <si>
    <t>ef_mp_digi</t>
  </si>
  <si>
    <t>MAC_ROB</t>
  </si>
  <si>
    <t>https://doi.org/10.2908/EF_MP_DIGI</t>
  </si>
  <si>
    <t>MAC_ROB_PPP</t>
  </si>
  <si>
    <t>ef_mp_digicr</t>
  </si>
  <si>
    <t>https://doi.org/10.2908/EF_MP_DIGICR</t>
  </si>
  <si>
    <t>BAND_SPRAY_PPP</t>
  </si>
  <si>
    <t>MAC_BDS_PPP</t>
  </si>
  <si>
    <t>VAR_RATE_TECH</t>
  </si>
  <si>
    <t>MAC_VRT</t>
  </si>
  <si>
    <t>PREC_MON_CROPS</t>
  </si>
  <si>
    <t>MAC_PMON_CR</t>
  </si>
  <si>
    <t>SOIL_ANALYSIS</t>
  </si>
  <si>
    <t>MAC_ASOIL</t>
  </si>
  <si>
    <t>AUTO_FEED_SYS</t>
  </si>
  <si>
    <t>ef_mp_digilsk</t>
  </si>
  <si>
    <t>MAC_AFDS</t>
  </si>
  <si>
    <t>https://doi.org/10.2908/EF_MP_DIGILSK</t>
  </si>
  <si>
    <t>MILK_ROBOTS</t>
  </si>
  <si>
    <t>MAC_MLK_ROB</t>
  </si>
  <si>
    <t>MON_ANIMALS</t>
  </si>
  <si>
    <t>MAC_WHMON</t>
  </si>
  <si>
    <t>AUTO_REG_CLIMATE</t>
  </si>
  <si>
    <t>MAC_AREG</t>
  </si>
  <si>
    <t>large holdings</t>
  </si>
  <si>
    <t>Derzhstat 2025: enterprises (incl. family farms) using the technology; share = estimate</t>
  </si>
  <si>
    <t>Enterprises using</t>
  </si>
  <si>
    <t>Enterprises with agricultural land</t>
  </si>
  <si>
    <t>Estimated share, %</t>
  </si>
  <si>
    <t>Numerator link</t>
  </si>
  <si>
    <t>Denominator link</t>
  </si>
  <si>
    <t>Enterprises keeping farm animals (2024)</t>
  </si>
  <si>
    <t>Estimated share, large-holding basis, %</t>
  </si>
  <si>
    <t>Livestock denominator link</t>
  </si>
  <si>
    <t>https://stat.gov.ua/uk/explorer?urn=SSSU%3ADF_AGR_MACHINERY_AVAILABILITY%28~%29</t>
  </si>
  <si>
    <t>https://stat.gov.ua/uk/explorer?urn=SSSU%3ADF_AREA_HARVESTS_CROP_YIELD_A%28~%29</t>
  </si>
  <si>
    <t>https://stat.gov.ua/uk/explorer?urn=SSSU%3ADF_STOCKBREEDING_FODDER_A%28~%29</t>
  </si>
  <si>
    <t>Farm level: shares, ratios to the EU and partial layer scores</t>
  </si>
  <si>
    <t>Ukraine 2025*</t>
  </si>
  <si>
    <t>EU-27 all</t>
  </si>
  <si>
    <t>EU-27 large</t>
  </si>
  <si>
    <t>Germany</t>
  </si>
  <si>
    <t>Poland</t>
  </si>
  <si>
    <t>Hungary</t>
  </si>
  <si>
    <t>Romania</t>
  </si>
  <si>
    <t>Czechia</t>
  </si>
  <si>
    <t>Slovakia</t>
  </si>
  <si>
    <t>Lithuania</t>
  </si>
  <si>
    <t>Latvia</t>
  </si>
  <si>
    <t>Estonia</t>
  </si>
  <si>
    <t>Bulgaria</t>
  </si>
  <si>
    <t>UA / EU-27 all</t>
  </si>
  <si>
    <t>UA / EU-27 large</t>
  </si>
  <si>
    <t>Median ratio</t>
  </si>
  <si>
    <t>Partial layer scores, EU basis: all holdings (DM = MIN(1, P / P_leader))</t>
  </si>
  <si>
    <t>Unit</t>
  </si>
  <si>
    <t>DM_C</t>
  </si>
  <si>
    <t>DM_L3</t>
  </si>
  <si>
    <t>DM_L3 crop</t>
  </si>
  <si>
    <t>DM_L3 livestock</t>
  </si>
  <si>
    <t>UA</t>
  </si>
  <si>
    <t>Partial layer scores, EU basis: large holdings (DM = MIN(1, P / P_leader))</t>
  </si>
  <si>
    <t>Food processing (NACE C10-C12), enterprises 10+, % of enterprises: Eurostat and Derzhstat values</t>
  </si>
  <si>
    <t>Pair</t>
  </si>
  <si>
    <t>Component</t>
  </si>
  <si>
    <t>Eurostat indicator</t>
  </si>
  <si>
    <t>Year EU</t>
  </si>
  <si>
    <t>Year UA</t>
  </si>
  <si>
    <t>Minimum (member states)</t>
  </si>
  <si>
    <t>Eurostat DOI</t>
  </si>
  <si>
    <t>Derzhstat link</t>
  </si>
  <si>
    <t>ERP</t>
  </si>
  <si>
    <t>C</t>
  </si>
  <si>
    <t>isoc_eb_iipn2</t>
  </si>
  <si>
    <t>E_ERP1</t>
  </si>
  <si>
    <t>https://doi.org/10.2908/ISOC_EB_IIPN2</t>
  </si>
  <si>
    <t>https://stat.gov.ua/uk/explorer?urn=SSSU%3ADF_INFORM_COMMUN_TECH_ENTRP%28~%29</t>
  </si>
  <si>
    <t>IOT_PRODUCTION</t>
  </si>
  <si>
    <t>isoc_eb_iotn2</t>
  </si>
  <si>
    <t>E_IOTDPP</t>
  </si>
  <si>
    <t>https://doi.org/10.2908/ISOC_EB_IOTN2</t>
  </si>
  <si>
    <t>ICT_SECURITY_DOCUMENT</t>
  </si>
  <si>
    <t>isoc_cisce_ran2</t>
  </si>
  <si>
    <t>E_SECPOL2</t>
  </si>
  <si>
    <t>https://doi.org/10.2908/ISOC_CISCE_RAN2</t>
  </si>
  <si>
    <t>ICT_TRAINING_ICT_SPECIALISTS</t>
  </si>
  <si>
    <t>L1</t>
  </si>
  <si>
    <t>isoc_ske_ittn2</t>
  </si>
  <si>
    <t>E_ITSPT2</t>
  </si>
  <si>
    <t>https://doi.org/10.2908/ISOC_SKE_ITTN2</t>
  </si>
  <si>
    <t>ICT_TRAINING_OTHER_EMPLOYEES</t>
  </si>
  <si>
    <t>E_ITUST2</t>
  </si>
  <si>
    <t>SUPPLY_CHAIN_DATA_EXCHANGE</t>
  </si>
  <si>
    <t>L2</t>
  </si>
  <si>
    <t>isoc_eb_icsn2</t>
  </si>
  <si>
    <t>E_SISC</t>
  </si>
  <si>
    <t>https://doi.org/10.2908/ISOC_EB_ICSN2</t>
  </si>
  <si>
    <t>DATA_ANALYTICS</t>
  </si>
  <si>
    <t>isoc_eb_dan2</t>
  </si>
  <si>
    <t>E_DA</t>
  </si>
  <si>
    <t>https://doi.org/10.2908/ISOC_EB_DAN2</t>
  </si>
  <si>
    <t>IOT_ANY</t>
  </si>
  <si>
    <t>E_IOT1</t>
  </si>
  <si>
    <t>MOBILE_INTERNET</t>
  </si>
  <si>
    <t>L3</t>
  </si>
  <si>
    <t>isoc_cimobe_usen2</t>
  </si>
  <si>
    <t>E_EMPMD2_GT0</t>
  </si>
  <si>
    <t>https://doi.org/10.2908/ISOC_CIMOBE_USEN2</t>
  </si>
  <si>
    <t>PAID_CLOUD</t>
  </si>
  <si>
    <t>isoc_cicce_usen2</t>
  </si>
  <si>
    <t>E_CC</t>
  </si>
  <si>
    <t>https://doi.org/10.2908/ISOC_CICCE_USEN2</t>
  </si>
  <si>
    <t>ECOMMERCE_SALES</t>
  </si>
  <si>
    <t>L4</t>
  </si>
  <si>
    <t>isoc_ec_eseln2</t>
  </si>
  <si>
    <t>E_AESELL</t>
  </si>
  <si>
    <t>https://doi.org/10.2908/ISOC_EC_ESELN2</t>
  </si>
  <si>
    <t>WEBSITE</t>
  </si>
  <si>
    <t>isoc_ciwebn2</t>
  </si>
  <si>
    <t>E_WEB</t>
  </si>
  <si>
    <t>https://doi.org/10.2908/ISOC_CIWEBN2</t>
  </si>
  <si>
    <t>CRM</t>
  </si>
  <si>
    <t>E_CRM1</t>
  </si>
  <si>
    <t>EINVOICE_AUTOMATED</t>
  </si>
  <si>
    <t>DM_I</t>
  </si>
  <si>
    <t>E_INV4S_AP</t>
  </si>
  <si>
    <t>BI</t>
  </si>
  <si>
    <t>E_ITBI</t>
  </si>
  <si>
    <t>AI_ANY</t>
  </si>
  <si>
    <t>DM_S</t>
  </si>
  <si>
    <t>isoc_eb_ain2</t>
  </si>
  <si>
    <t>E_AI_TANY</t>
  </si>
  <si>
    <t>https://doi.org/10.2908/ISOC_EB_AIN2</t>
  </si>
  <si>
    <t>DII_BASIC_V3</t>
  </si>
  <si>
    <t>isoc_e_diin2</t>
  </si>
  <si>
    <t>E_DI3_GELO</t>
  </si>
  <si>
    <t>https://doi.org/10.2908/ISOC_E_DIIN2</t>
  </si>
  <si>
    <t>Statistics mode: DM = P / P_leader, layers, ADMI, levels, ranks</t>
  </si>
  <si>
    <t>ADMI_base</t>
  </si>
  <si>
    <t>DM_min</t>
  </si>
  <si>
    <t>Weakest layer</t>
  </si>
  <si>
    <t>Penalty</t>
  </si>
  <si>
    <t>ADMI</t>
  </si>
  <si>
    <t>Level</t>
  </si>
  <si>
    <t>Rank (9 CEE + UA)</t>
  </si>
  <si>
    <t>TOPSIS on the five layers (Hwang and Yoon, 1981): entropy weights and equal weights</t>
  </si>
  <si>
    <t>Vector norm</t>
  </si>
  <si>
    <t>Entropy</t>
  </si>
  <si>
    <t>1 - entropy</t>
  </si>
  <si>
    <t>Entropy weight</t>
  </si>
  <si>
    <t>Equal weight</t>
  </si>
  <si>
    <t>Weighted normalised matrix, entropy weights</t>
  </si>
  <si>
    <t>Distance to ideal</t>
  </si>
  <si>
    <t>Distance to anti-ideal</t>
  </si>
  <si>
    <t>Closeness</t>
  </si>
  <si>
    <t>Rank</t>
  </si>
  <si>
    <t>Ideal</t>
  </si>
  <si>
    <t>Anti-ideal</t>
  </si>
  <si>
    <t>Weighted normalised matrix, equal weights</t>
  </si>
  <si>
    <t>Spearman ADMI vs TOPSIS (entropy weights)</t>
  </si>
  <si>
    <t>Pearson ADMI vs TOPSIS closeness</t>
  </si>
  <si>
    <t>Spearman TOPSIS entropy vs equal weights</t>
  </si>
  <si>
    <t>Mean layer profiles of CEE countries at levels 3 and 4 and the gap of Ukraine</t>
  </si>
  <si>
    <t>Ukraine</t>
  </si>
  <si>
    <t>Level 3 mean</t>
  </si>
  <si>
    <t>Level 4 mean</t>
  </si>
  <si>
    <t>EU-27</t>
  </si>
  <si>
    <t>Gap to level 3</t>
  </si>
  <si>
    <t>Min-max normalisation: DM = MIN(1, MAX(0, (P - P_min) / (P_leader - P_min)))</t>
  </si>
  <si>
    <t>Spearman, leader vs min-max ranking</t>
  </si>
  <si>
    <t>Sensitivity of the ADMI ranking (nine CEE countries + Ukraine) to the decisions of the method</t>
  </si>
  <si>
    <t>Penalty alpha (yellow cells may be changed)</t>
  </si>
  <si>
    <t>Spearman with baseline</t>
  </si>
  <si>
    <t>Units whose rank changed</t>
  </si>
  <si>
    <t>Penalty delta (yellow cells may be changed)</t>
  </si>
  <si>
    <t>Penalised units (DM_min &lt; delta)</t>
  </si>
  <si>
    <t>Geometric mean of the five layers</t>
  </si>
  <si>
    <t>Geometric mean</t>
  </si>
  <si>
    <t>Leave one indicator out: layers recomputed without the indicator</t>
  </si>
  <si>
    <t>Indicator removed</t>
  </si>
  <si>
    <t>Ukraine rank</t>
  </si>
  <si>
    <t>Ukraine ADMI</t>
  </si>
  <si>
    <t>Block row</t>
  </si>
  <si>
    <t>Without ERP</t>
  </si>
  <si>
    <t>Without IOT_PRODUCTION</t>
  </si>
  <si>
    <t>Without ICT_SECURITY_DOCUMENT</t>
  </si>
  <si>
    <t>Without ICT_TRAINING_ICT_SPECIALISTS</t>
  </si>
  <si>
    <t>Without ICT_TRAINING_OTHER_EMPLOYEES</t>
  </si>
  <si>
    <t>Without SUPPLY_CHAIN_DATA_EXCHANGE</t>
  </si>
  <si>
    <t>Without DATA_ANALYTICS</t>
  </si>
  <si>
    <t>Without IOT_ANY</t>
  </si>
  <si>
    <t>Without MOBILE_INTERNET</t>
  </si>
  <si>
    <t>Without PAID_CLOUD</t>
  </si>
  <si>
    <t>Without ECOMMERCE_SALES</t>
  </si>
  <si>
    <t>Without WEBSITE</t>
  </si>
  <si>
    <t>Without CRM</t>
  </si>
  <si>
    <t>Leave one layer out: four-layer index</t>
  </si>
  <si>
    <t>Layer removed</t>
  </si>
  <si>
    <t>Without C</t>
  </si>
  <si>
    <t>Without L1</t>
  </si>
  <si>
    <t>Without L2</t>
  </si>
  <si>
    <t>Without L3</t>
  </si>
  <si>
    <t>Without L4</t>
  </si>
  <si>
    <t>Year-aligned subset: indicators whose EU and Ukrainian years differ by at most max_year_gap (Parameters)</t>
  </si>
  <si>
    <t>Indicator</t>
  </si>
  <si>
    <t>Year gap</t>
  </si>
  <si>
    <t>Included (1/0)</t>
  </si>
  <si>
    <t>Device indicator MOBILE_INTERNET moved from L3 (statement 10, telematics) to L1 (statement 6, digital workplaces of staff)</t>
  </si>
  <si>
    <t>Baseline level</t>
  </si>
  <si>
    <t>Baseline weakest layer</t>
  </si>
  <si>
    <t>Units whose level changed (of 12)</t>
  </si>
  <si>
    <t>Penalised units (of 12)</t>
  </si>
  <si>
    <t>Units with L1 as the weakest layer (of 12)</t>
  </si>
  <si>
    <t>Same, baseline</t>
  </si>
  <si>
    <t>TOPSIS on the moved layers, entropy weights</t>
  </si>
  <si>
    <t>Spearman moved ADMI vs TOPSIS</t>
  </si>
  <si>
    <t>Transition expectations: units relative to EU-27, and concentration of adoption in large holdings</t>
  </si>
  <si>
    <t>ADMI / EU-27</t>
  </si>
  <si>
    <t>DM_C / EU-27 (all holdings)</t>
  </si>
  <si>
    <t>DM_L3 / EU-27 (all holdings)</t>
  </si>
  <si>
    <t>large / all: ROBOTICS</t>
  </si>
  <si>
    <t>large / all: MAC_ROB_PPP</t>
  </si>
  <si>
    <t>large / all: BAND_SPRAY_PPP</t>
  </si>
  <si>
    <t>large / all: VAR_RATE_TECH</t>
  </si>
  <si>
    <t>large / all: PREC_MON_CROPS</t>
  </si>
  <si>
    <t>large / all: SOIL_ANALYSIS</t>
  </si>
  <si>
    <t>large / all, median</t>
  </si>
  <si>
    <t>n/a (no small-holding segment)</t>
  </si>
  <si>
    <t>CEE median, ADMI / EU-27</t>
  </si>
  <si>
    <t>CEE median, DM_C / EU-27</t>
  </si>
  <si>
    <t>CEE median, DM_L3 / EU-27</t>
  </si>
  <si>
    <t>CEE median, large / all</t>
  </si>
  <si>
    <t>CEE countries with large / all above EU-27</t>
  </si>
  <si>
    <t>Tables of the paper (every number is a formula over the calculation sheets)</t>
  </si>
  <si>
    <t>Table 1. Farm-level technologies and their place in the ADMA model</t>
  </si>
  <si>
    <t>Eurostat code</t>
  </si>
  <si>
    <t>ADMA layer</t>
  </si>
  <si>
    <t>Robotics</t>
  </si>
  <si>
    <t>Robots for plant protection products</t>
  </si>
  <si>
    <t>Band spraying of plant protection products</t>
  </si>
  <si>
    <t>Variable rate technology</t>
  </si>
  <si>
    <t>Precision crop monitoring</t>
  </si>
  <si>
    <t>Soil analysis</t>
  </si>
  <si>
    <t>Automatic feeding systems</t>
  </si>
  <si>
    <t>Milking robots</t>
  </si>
  <si>
    <t>Animal health monitoring</t>
  </si>
  <si>
    <t>Automatic climate regulation</t>
  </si>
  <si>
    <t>Table 2. Food processing indicators (NACE C10-C12), % of enterprises</t>
  </si>
  <si>
    <t>Layer</t>
  </si>
  <si>
    <t>EU leader value</t>
  </si>
  <si>
    <t>EU leader</t>
  </si>
  <si>
    <t>IoT in production processes</t>
  </si>
  <si>
    <t>Document on ICT security</t>
  </si>
  <si>
    <t>ICT training for ICT specialists</t>
  </si>
  <si>
    <t>ICT training for other employees</t>
  </si>
  <si>
    <t>Data sharing in the supply chain</t>
  </si>
  <si>
    <t>Data analytics</t>
  </si>
  <si>
    <t>Internet of Things</t>
  </si>
  <si>
    <t>Mobile internet access</t>
  </si>
  <si>
    <t>Paid cloud services</t>
  </si>
  <si>
    <t>E-commerce sales</t>
  </si>
  <si>
    <t>Website</t>
  </si>
  <si>
    <t>I</t>
  </si>
  <si>
    <t>E-invoices for automated processing</t>
  </si>
  <si>
    <t>Business intelligence</t>
  </si>
  <si>
    <t>S</t>
  </si>
  <si>
    <t>Artificial intelligence</t>
  </si>
  <si>
    <t>At least basic digital intensity</t>
  </si>
  <si>
    <t>Table 3. Partial layer scores of farms</t>
  </si>
  <si>
    <t>DM_C, all</t>
  </si>
  <si>
    <t>DM_L3, all</t>
  </si>
  <si>
    <t>crop</t>
  </si>
  <si>
    <t>livestock</t>
  </si>
  <si>
    <t>DM_C, large</t>
  </si>
  <si>
    <t>DM_L3, large</t>
  </si>
  <si>
    <t>Table 4. Layer profile of food processing (NACE C10-C12), ADMA statistics mode</t>
  </si>
  <si>
    <t>Mean of layers</t>
  </si>
  <si>
    <t>Table 5. ADMI, maturity level and components outside the index, food processing</t>
  </si>
  <si>
    <t>Table 6. Ranking of the new EU members and Ukraine by ADMI, TOPSIS and min-max normalisation</t>
  </si>
  <si>
    <t>ADMI rank</t>
  </si>
  <si>
    <t>TOPSIS closeness</t>
  </si>
  <si>
    <t>TOPSIS rank</t>
  </si>
  <si>
    <t>TOPSIS rank (equal weights)</t>
  </si>
  <si>
    <t>ADMI min-max</t>
  </si>
  <si>
    <t>Min-max rank</t>
  </si>
  <si>
    <t>Entropy weights</t>
  </si>
  <si>
    <t>Spearman ADMI vs TOPSIS</t>
  </si>
  <si>
    <t>Table 7. Sensitivity of the ADMI ranking to the decisions of the method</t>
  </si>
  <si>
    <t>Check</t>
  </si>
  <si>
    <t>Variants</t>
  </si>
  <si>
    <t>Minimum Spearman with the baseline</t>
  </si>
  <si>
    <t>Rank changes</t>
  </si>
  <si>
    <t>Penalty strength alpha from 0 to 1.0</t>
  </si>
  <si>
    <t>Poland and Latvia for alpha above 0.53</t>
  </si>
  <si>
    <t>Threshold delta from 0.25 to 0.55</t>
  </si>
  <si>
    <t>none</t>
  </si>
  <si>
    <t>Geometric mean of the layers</t>
  </si>
  <si>
    <t>One of the 13 indicators removed</t>
  </si>
  <si>
    <t>Poland and Latvia in 6 cases, Ukraine and Bulgaria in 2, single swaps in the middle of the group</t>
  </si>
  <si>
    <t>One of the five layers removed</t>
  </si>
  <si>
    <t>without L4 three swaps in the middle of the group, without L1 Ukraine and Bulgaria, Poland and Slovakia</t>
  </si>
  <si>
    <t>Only pairs with a year gap of at most one</t>
  </si>
  <si>
    <t>Ukraine and Bulgaria</t>
  </si>
  <si>
    <t>Device indicator moved from L3 to L1</t>
  </si>
  <si>
    <t>Czechia and Estonia</t>
  </si>
  <si>
    <t>Table 8. Units relative to EU-27 and concentration of digital technologies in large holdings</t>
  </si>
  <si>
    <t>DM_C / EU-27</t>
  </si>
  <si>
    <t>DM_L3 / EU-27</t>
  </si>
  <si>
    <t>Large / all holdings</t>
  </si>
  <si>
    <t>n/a</t>
  </si>
  <si>
    <t>New members, median</t>
  </si>
  <si>
    <t>Table A1. Share of farms using digital technologies, %</t>
  </si>
  <si>
    <t>Plant protection robots</t>
  </si>
  <si>
    <t>Band spraying</t>
  </si>
  <si>
    <t>Automatic feeding</t>
  </si>
  <si>
    <t>Climate regulation</t>
  </si>
  <si>
    <t>* Estimate: enterprises (incl. family farms) using the technology / enterprises with agricultural land. For the ratio to large EU holdings the livestock technologies are divided by the enterprises keeping farm animals (Farm_UA_data, column H).</t>
  </si>
  <si>
    <t>Table A2. Layer orientations for Ukraine</t>
  </si>
  <si>
    <t>Level 3 countries</t>
  </si>
  <si>
    <t>Level 4 countries</t>
  </si>
  <si>
    <t>Таблиці статті українською (кожне число є формулою над розрахунковими аркушами)</t>
  </si>
  <si>
    <t>Таблиця 1. Технології рівня господарств і їх місце в моделі ADMA</t>
  </si>
  <si>
    <t>Технологія</t>
  </si>
  <si>
    <t>Код Eurostat</t>
  </si>
  <si>
    <t>Шар ADMA</t>
  </si>
  <si>
    <t>Робототехніка</t>
  </si>
  <si>
    <t>Роботи для внесення засобів захисту рослин</t>
  </si>
  <si>
    <t>Стрічкове внесення засобів захисту рослин</t>
  </si>
  <si>
    <t>Технологія змінних норм внесення</t>
  </si>
  <si>
    <t>Точний моніторинг посівів</t>
  </si>
  <si>
    <t>Аналіз ґрунту</t>
  </si>
  <si>
    <t>Автоматичні системи годування</t>
  </si>
  <si>
    <t>Доїльні роботи</t>
  </si>
  <si>
    <t>Моніторинг здоров'я і благополуччя тварин</t>
  </si>
  <si>
    <t>Автоматичне регулювання мікроклімату</t>
  </si>
  <si>
    <t>Таблиця 2. Показники харчової переробки (NACE C10–C12), % підприємств</t>
  </si>
  <si>
    <t>Шар</t>
  </si>
  <si>
    <t>Показник</t>
  </si>
  <si>
    <t>Рік ЄС</t>
  </si>
  <si>
    <t>Рік Україна</t>
  </si>
  <si>
    <t>ЄС-27</t>
  </si>
  <si>
    <t>Лідер ЄС, значення</t>
  </si>
  <si>
    <t>Лідер ЄС</t>
  </si>
  <si>
    <t>Україна</t>
  </si>
  <si>
    <t>IoT у виробничих процесах</t>
  </si>
  <si>
    <t>Документ щодо безпеки ІКТ</t>
  </si>
  <si>
    <t>Навчання з ІКТ для фахівців з ІКТ</t>
  </si>
  <si>
    <t>Навчання з ІКТ для інших працівників</t>
  </si>
  <si>
    <t>Обмін даними в ланцюгу постачання</t>
  </si>
  <si>
    <t>Аналітика даних</t>
  </si>
  <si>
    <t>Інтернет речей</t>
  </si>
  <si>
    <t>Мобільний доступ до інтернету</t>
  </si>
  <si>
    <t>Платні хмарні послуги</t>
  </si>
  <si>
    <t>Електронні продажі</t>
  </si>
  <si>
    <t>Вебсайт</t>
  </si>
  <si>
    <t>Е-рахунки для автоматичної обробки</t>
  </si>
  <si>
    <t>Бізнес-аналітика</t>
  </si>
  <si>
    <t>Штучний інтелект</t>
  </si>
  <si>
    <t>Щонайменше базова цифрова інтенсивність</t>
  </si>
  <si>
    <t>Таблиця 3. Часткові шарові показники господарств</t>
  </si>
  <si>
    <t>Одиниця</t>
  </si>
  <si>
    <t>DM_C, усі</t>
  </si>
  <si>
    <t>DM_L3, усі</t>
  </si>
  <si>
    <t>рослинництво</t>
  </si>
  <si>
    <t>тваринництво</t>
  </si>
  <si>
    <t>DM_C, великі</t>
  </si>
  <si>
    <t>DM_L3, великі</t>
  </si>
  <si>
    <t>Німеччина</t>
  </si>
  <si>
    <t>Польща</t>
  </si>
  <si>
    <t>Угорщина</t>
  </si>
  <si>
    <t>Румунія</t>
  </si>
  <si>
    <t>Чехія</t>
  </si>
  <si>
    <t>Словаччина</t>
  </si>
  <si>
    <t>Литва</t>
  </si>
  <si>
    <t>Латвія</t>
  </si>
  <si>
    <t>Естонія</t>
  </si>
  <si>
    <t>Болгарія</t>
  </si>
  <si>
    <t>Таблиця 4. Шарові показники харчової переробки (NACE C10–C12), статистичний режим ADMA</t>
  </si>
  <si>
    <t>Середнє шарів</t>
  </si>
  <si>
    <t>Найслабший шар</t>
  </si>
  <si>
    <t>Таблиця 5. ADMI, рівень зрілості і показники поза індексом для харчової переробки</t>
  </si>
  <si>
    <t>Штраф</t>
  </si>
  <si>
    <t>Рівень</t>
  </si>
  <si>
    <t>Таблиця 6. Ранжування нових членів ЄС і України за ADMI, TOPSIS і нормалізацією min–max</t>
  </si>
  <si>
    <t>Ранг ADMI</t>
  </si>
  <si>
    <t>TOPSIS, близькість</t>
  </si>
  <si>
    <t>Ранг TOPSIS</t>
  </si>
  <si>
    <t>Ранг TOPSIS (рівні ваги)</t>
  </si>
  <si>
    <t>ADMI min–max</t>
  </si>
  <si>
    <t>Ранг min–max</t>
  </si>
  <si>
    <t>Ентропійні ваги</t>
  </si>
  <si>
    <t>Спірмен ADMI і TOPSIS</t>
  </si>
  <si>
    <t>Пірсон ADMI і близькість TOPSIS</t>
  </si>
  <si>
    <t>Спірмен TOPSIS, ентропійні і рівні ваги</t>
  </si>
  <si>
    <t>Таблиця 7. Чутливість ранжування за ADMI до рішень методики</t>
  </si>
  <si>
    <t>Перевірка</t>
  </si>
  <si>
    <t>Варіантів</t>
  </si>
  <si>
    <t>Мінімальний ρ з базовим ранжуванням</t>
  </si>
  <si>
    <t>Зміни позицій</t>
  </si>
  <si>
    <t>Сила штрафу alpha від 0 до 1,0</t>
  </si>
  <si>
    <t>Польща і Латвія за alpha понад 0,53</t>
  </si>
  <si>
    <t>Поріг delta від 0,25 до 0,55</t>
  </si>
  <si>
    <t>немає</t>
  </si>
  <si>
    <t>Середнє геометричне шарів</t>
  </si>
  <si>
    <t>Вилучення одного з 13 показників</t>
  </si>
  <si>
    <t>Польща і Латвія у 6 випадках, Україна і Болгарія у 2, поодинокі в середині групи</t>
  </si>
  <si>
    <t>Вилучення одного з п'яти шарів</t>
  </si>
  <si>
    <t>без L4 три перестановки в середині групи. Без L1 Україна і Болгарія, Польща і Словаччина</t>
  </si>
  <si>
    <t>Лише пари з розривом років не більше одного</t>
  </si>
  <si>
    <t>Україна і Болгарія</t>
  </si>
  <si>
    <t>Перенесення показника портативних пристроїв з L3 до L1</t>
  </si>
  <si>
    <t>Чехія і Естонія</t>
  </si>
  <si>
    <t>Таблиця 8. Позиція одиниць відносно ЄС-27 і зосередження цифрових технологій у великих господарствах</t>
  </si>
  <si>
    <t>ADMI / ЄС-27</t>
  </si>
  <si>
    <t>DM_C / ЄС-27</t>
  </si>
  <si>
    <t>DM_L3 / ЄС-27</t>
  </si>
  <si>
    <t>Великі / усі господарства</t>
  </si>
  <si>
    <t>–</t>
  </si>
  <si>
    <t>Нові члени, медіана</t>
  </si>
  <si>
    <t>Таблиця A1. Частка господарств, що використовують цифрові технології, %</t>
  </si>
  <si>
    <t>Україна 2025*</t>
  </si>
  <si>
    <t>ЄС-27, усі</t>
  </si>
  <si>
    <t>ЄС-27, великі</t>
  </si>
  <si>
    <t>Україна / ЄС-27, усі</t>
  </si>
  <si>
    <t>Україна / ЄС-27, великі</t>
  </si>
  <si>
    <t>Роботи для внесення ЗЗР</t>
  </si>
  <si>
    <t>Стрічкове внесення ЗЗР</t>
  </si>
  <si>
    <t>Змінні норми внесення</t>
  </si>
  <si>
    <t>Автоматичне годування</t>
  </si>
  <si>
    <t>Моніторинг здоров'я тварин</t>
  </si>
  <si>
    <t>Регулювання мікроклімату</t>
  </si>
  <si>
    <t>Медіана відношення</t>
  </si>
  <si>
    <t>* Оцінка автора, частка підприємств (включно з фермерськими господарствами) від кількості підприємств із сільськогосподарськими угіддями. Для відношення до великих господарств ЄС технології тваринництва поділено на кількість підприємств, що утримують тварин (Farm_UA_data, стовпець H).</t>
  </si>
  <si>
    <t>Таблиця A2. Орієнтири шарових показників для України</t>
  </si>
  <si>
    <t>Країни 3-го рівня</t>
  </si>
  <si>
    <t>Країни 4-го рівня</t>
  </si>
  <si>
    <t>Розрив до 3-го рівня</t>
  </si>
  <si>
    <t>Figure 1. Ukrainian farm share relative to the EU-27 share, by technology (log scale; 1 = parity)</t>
  </si>
  <si>
    <t>Labels language (EN / UA)</t>
  </si>
  <si>
    <t>EN</t>
  </si>
  <si>
    <t>Technologies are ordered by the ratio to large EU holdings (order fixed at build time); values are formulas on Farm_results.</t>
  </si>
  <si>
    <t>Axis title</t>
  </si>
  <si>
    <t>Figure 2. Layer profile of Ukrainian food processing against the orientations (Table A2)</t>
  </si>
  <si>
    <t>Values are formulas on Processing_index and Orientations. C, L1-L4 enter the index; DM_I and DM_S are computed outside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</si>
</sst>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 x14ac:knownFonts="1">
    <font>
      <sz val="11"/>
      <color theme="1"/>
      <name val="Calibri"/>
      <family val="2"/>
      <scheme val="minor"/>
    </font>
    <font>
      <b/>
      <sz val="13"/>
      <name val="Calibri"/>
    </font>
    <font>
      <b/>
      <sz val="11"/>
      <name val="Calibri"/>
    </font>
    <font>
      <i/>
      <sz val="11"/>
      <name val="Calibri"/>
    </font>
  </fonts>
  <fills count="4">
    <fill>
      <patternFill patternType="none"/>
    </fill>
    <fill>
      <patternFill patternType="gray125"/>
    </fill>
    <fill>
      <patternFill patternType="solid">
        <fgColor rgb="FFFFF2CC"/>
      </patternFill>
    </fill>
    <fill>
      <patternFill patternType="solid">
        <fgColor rgb="FFDD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vertical="top" wrapText="1"/>
    </xf>
    <xf numFmtId="0" fontId="2" fillId="0" borderId="0" xfId="0" applyFont="1"/>
    <xf numFmtId="0" fontId="0" fillId="2" borderId="0" xfId="0" applyFill="1"/>
    <xf numFmtId="0" fontId="0" fillId="3" borderId="0" xfId="0" applyFill="1"/>
    <xf numFmtId="0" fontId="2" fillId="0" borderId="0" xfId="0" applyFont="1" applyAlignment="1">
      <alignment vertical="top" wrapText="1"/>
    </xf>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Figure_1!$B$6</c:f>
              <c:strCache>
                <c:ptCount val="1"/>
                <c:pt idx="0">
                  <c:v>Ratio to all EU holdings</c:v>
                </c:pt>
              </c:strCache>
            </c:strRef>
          </c:tx>
          <c:spPr>
            <a:ln>
              <a:noFill/>
              <a:prstDash val="solid"/>
            </a:ln>
          </c:spPr>
          <c:marker>
            <c:symbol val="circle"/>
            <c:size val="8"/>
            <c:spPr>
              <a:noFill/>
              <a:ln w="12700">
                <a:solidFill>
                  <a:srgbClr val="000000"/>
                </a:solidFill>
                <a:prstDash val="solid"/>
              </a:ln>
            </c:spPr>
          </c:marker>
          <c:cat>
            <c:strRef>
              <c:f>Figure_1!$A$7:$A$16</c:f>
              <c:strCache>
                <c:ptCount val="10"/>
                <c:pt idx="0">
                  <c:v>Automatic feeding</c:v>
                </c:pt>
                <c:pt idx="1">
                  <c:v>Climate regulation</c:v>
                </c:pt>
                <c:pt idx="2">
                  <c:v>Milking robots</c:v>
                </c:pt>
                <c:pt idx="3">
                  <c:v>Animal health monitoring</c:v>
                </c:pt>
                <c:pt idx="4">
                  <c:v>Plant protection robots</c:v>
                </c:pt>
                <c:pt idx="5">
                  <c:v>Band spraying</c:v>
                </c:pt>
                <c:pt idx="6">
                  <c:v>Precision crop monitoring</c:v>
                </c:pt>
                <c:pt idx="7">
                  <c:v>Robotics</c:v>
                </c:pt>
                <c:pt idx="8">
                  <c:v>Variable rate technology</c:v>
                </c:pt>
                <c:pt idx="9">
                  <c:v>Soil analysis</c:v>
                </c:pt>
              </c:strCache>
            </c:strRef>
          </c:cat>
          <c:val>
            <c:numRef>
              <c:f>Figure_1!$B$7:$B$16</c:f>
              <c:numCache>
                <c:formatCode>0.000</c:formatCode>
                <c:ptCount val="10"/>
                <c:pt idx="0">
                  <c:v>0.49802932374945785</c:v>
                </c:pt>
                <c:pt idx="1">
                  <c:v>0.46699068432735735</c:v>
                </c:pt>
                <c:pt idx="2">
                  <c:v>0.12501275467970044</c:v>
                </c:pt>
                <c:pt idx="3">
                  <c:v>0.13978836465192801</c:v>
                </c:pt>
                <c:pt idx="4">
                  <c:v>1.7138956867773796</c:v>
                </c:pt>
                <c:pt idx="5">
                  <c:v>0.33032836763282208</c:v>
                </c:pt>
                <c:pt idx="6">
                  <c:v>0.91030959444784953</c:v>
                </c:pt>
                <c:pt idx="7">
                  <c:v>0.58176735264986246</c:v>
                </c:pt>
                <c:pt idx="8">
                  <c:v>0.24335697692627317</c:v>
                </c:pt>
                <c:pt idx="9">
                  <c:v>0.10181417396249824</c:v>
                </c:pt>
              </c:numCache>
            </c:numRef>
          </c:val>
          <c:smooth val="0"/>
          <c:extLst>
            <c:ext xmlns:c16="http://schemas.microsoft.com/office/drawing/2014/chart" uri="{C3380CC4-5D6E-409C-BE32-E72D297353CC}">
              <c16:uniqueId val="{00000000-BB34-4248-9999-7B9AB6068328}"/>
            </c:ext>
          </c:extLst>
        </c:ser>
        <c:ser>
          <c:idx val="1"/>
          <c:order val="1"/>
          <c:tx>
            <c:strRef>
              <c:f>Figure_1!$C$6</c:f>
              <c:strCache>
                <c:ptCount val="1"/>
                <c:pt idx="0">
                  <c:v>Ratio to large EU holdings</c:v>
                </c:pt>
              </c:strCache>
            </c:strRef>
          </c:tx>
          <c:spPr>
            <a:ln>
              <a:noFill/>
              <a:prstDash val="solid"/>
            </a:ln>
          </c:spPr>
          <c:marker>
            <c:symbol val="circle"/>
            <c:size val="8"/>
            <c:spPr>
              <a:solidFill>
                <a:srgbClr val="000000"/>
              </a:solidFill>
              <a:ln w="12700">
                <a:solidFill>
                  <a:srgbClr val="000000"/>
                </a:solidFill>
                <a:prstDash val="solid"/>
              </a:ln>
            </c:spPr>
          </c:marker>
          <c:cat>
            <c:strRef>
              <c:f>Figure_1!$A$7:$A$16</c:f>
              <c:strCache>
                <c:ptCount val="10"/>
                <c:pt idx="0">
                  <c:v>Automatic feeding</c:v>
                </c:pt>
                <c:pt idx="1">
                  <c:v>Climate regulation</c:v>
                </c:pt>
                <c:pt idx="2">
                  <c:v>Milking robots</c:v>
                </c:pt>
                <c:pt idx="3">
                  <c:v>Animal health monitoring</c:v>
                </c:pt>
                <c:pt idx="4">
                  <c:v>Plant protection robots</c:v>
                </c:pt>
                <c:pt idx="5">
                  <c:v>Band spraying</c:v>
                </c:pt>
                <c:pt idx="6">
                  <c:v>Precision crop monitoring</c:v>
                </c:pt>
                <c:pt idx="7">
                  <c:v>Robotics</c:v>
                </c:pt>
                <c:pt idx="8">
                  <c:v>Variable rate technology</c:v>
                </c:pt>
                <c:pt idx="9">
                  <c:v>Soil analysis</c:v>
                </c:pt>
              </c:strCache>
            </c:strRef>
          </c:cat>
          <c:val>
            <c:numRef>
              <c:f>Figure_1!$C$7:$C$16</c:f>
              <c:numCache>
                <c:formatCode>0.000</c:formatCode>
                <c:ptCount val="10"/>
                <c:pt idx="0">
                  <c:v>0.47608669707394774</c:v>
                </c:pt>
                <c:pt idx="1">
                  <c:v>0.4439628576158442</c:v>
                </c:pt>
                <c:pt idx="2">
                  <c:v>0.24485474157898221</c:v>
                </c:pt>
                <c:pt idx="3">
                  <c:v>0.19493004669460665</c:v>
                </c:pt>
                <c:pt idx="4">
                  <c:v>0.18226322711348567</c:v>
                </c:pt>
                <c:pt idx="5">
                  <c:v>0.17232743838093939</c:v>
                </c:pt>
                <c:pt idx="6">
                  <c:v>0.15698344848193027</c:v>
                </c:pt>
                <c:pt idx="7">
                  <c:v>0.12620448321062511</c:v>
                </c:pt>
                <c:pt idx="8">
                  <c:v>7.7339254315876543E-2</c:v>
                </c:pt>
                <c:pt idx="9">
                  <c:v>2.5269863863423468E-2</c:v>
                </c:pt>
              </c:numCache>
            </c:numRef>
          </c:val>
          <c:smooth val="0"/>
          <c:extLst>
            <c:ext xmlns:c16="http://schemas.microsoft.com/office/drawing/2014/chart" uri="{C3380CC4-5D6E-409C-BE32-E72D297353CC}">
              <c16:uniqueId val="{00000001-BB34-4248-9999-7B9AB6068328}"/>
            </c:ext>
          </c:extLst>
        </c:ser>
        <c:ser>
          <c:idx val="2"/>
          <c:order val="2"/>
          <c:tx>
            <c:strRef>
              <c:f>Figure_1!$D$6</c:f>
              <c:strCache>
                <c:ptCount val="1"/>
                <c:pt idx="0">
                  <c:v>Parity with the EU</c:v>
                </c:pt>
              </c:strCache>
            </c:strRef>
          </c:tx>
          <c:spPr>
            <a:ln w="12700">
              <a:solidFill>
                <a:srgbClr val="808080"/>
              </a:solidFill>
              <a:prstDash val="dash"/>
            </a:ln>
          </c:spPr>
          <c:marker>
            <c:symbol val="none"/>
          </c:marker>
          <c:cat>
            <c:strRef>
              <c:f>Figure_1!$A$7:$A$16</c:f>
              <c:strCache>
                <c:ptCount val="10"/>
                <c:pt idx="0">
                  <c:v>Automatic feeding</c:v>
                </c:pt>
                <c:pt idx="1">
                  <c:v>Climate regulation</c:v>
                </c:pt>
                <c:pt idx="2">
                  <c:v>Milking robots</c:v>
                </c:pt>
                <c:pt idx="3">
                  <c:v>Animal health monitoring</c:v>
                </c:pt>
                <c:pt idx="4">
                  <c:v>Plant protection robots</c:v>
                </c:pt>
                <c:pt idx="5">
                  <c:v>Band spraying</c:v>
                </c:pt>
                <c:pt idx="6">
                  <c:v>Precision crop monitoring</c:v>
                </c:pt>
                <c:pt idx="7">
                  <c:v>Robotics</c:v>
                </c:pt>
                <c:pt idx="8">
                  <c:v>Variable rate technology</c:v>
                </c:pt>
                <c:pt idx="9">
                  <c:v>Soil analysis</c:v>
                </c:pt>
              </c:strCache>
            </c:strRef>
          </c:cat>
          <c:val>
            <c:numRef>
              <c:f>Figure_1!$D$7:$D$16</c:f>
              <c:numCache>
                <c:formatCode>General</c:formatCode>
                <c:ptCount val="10"/>
                <c:pt idx="0">
                  <c:v>1</c:v>
                </c:pt>
                <c:pt idx="1">
                  <c:v>1</c:v>
                </c:pt>
                <c:pt idx="2">
                  <c:v>1</c:v>
                </c:pt>
                <c:pt idx="3">
                  <c:v>1</c:v>
                </c:pt>
                <c:pt idx="4">
                  <c:v>1</c:v>
                </c:pt>
                <c:pt idx="5">
                  <c:v>1</c:v>
                </c:pt>
                <c:pt idx="6">
                  <c:v>1</c:v>
                </c:pt>
                <c:pt idx="7">
                  <c:v>1</c:v>
                </c:pt>
                <c:pt idx="8">
                  <c:v>1</c:v>
                </c:pt>
                <c:pt idx="9">
                  <c:v>1</c:v>
                </c:pt>
              </c:numCache>
            </c:numRef>
          </c:val>
          <c:smooth val="0"/>
          <c:extLst>
            <c:ext xmlns:c16="http://schemas.microsoft.com/office/drawing/2014/chart" uri="{C3380CC4-5D6E-409C-BE32-E72D297353CC}">
              <c16:uniqueId val="{00000002-BB34-4248-9999-7B9AB606832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6350">
            <a:solidFill>
              <a:srgbClr val="BFBFBF"/>
            </a:solidFill>
            <a:prstDash val="solid"/>
          </a:ln>
        </c:spPr>
        <c:txPr>
          <a:bodyPr/>
          <a:lstStyle/>
          <a:p>
            <a:pPr>
              <a:defRPr sz="1000"/>
            </a:pPr>
            <a:endParaRPr lang="en-UA"/>
          </a:p>
        </c:txPr>
        <c:crossAx val="100"/>
        <c:crosses val="autoZero"/>
        <c:auto val="0"/>
        <c:lblAlgn val="ctr"/>
        <c:lblOffset val="100"/>
        <c:noMultiLvlLbl val="0"/>
      </c:catAx>
      <c:valAx>
        <c:axId val="100"/>
        <c:scaling>
          <c:logBase val="10"/>
          <c:orientation val="minMax"/>
          <c:max val="10"/>
          <c:min val="0.01"/>
        </c:scaling>
        <c:delete val="0"/>
        <c:axPos val="l"/>
        <c:majorGridlines>
          <c:spPr>
            <a:ln w="6350">
              <a:solidFill>
                <a:srgbClr val="E0E0E0"/>
              </a:solidFill>
              <a:prstDash val="solid"/>
            </a:ln>
          </c:spPr>
        </c:majorGridlines>
        <c:title>
          <c:tx>
            <c:strRef>
              <c:f>Figure_1!$B$5</c:f>
              <c:strCache>
                <c:ptCount val="1"/>
                <c:pt idx="0">
                  <c:v>Ukrainian share / EU-27 share (log scale)</c:v>
                </c:pt>
              </c:strCache>
            </c:strRef>
          </c:tx>
          <c:overlay val="0"/>
        </c:title>
        <c:numFmt formatCode="General" sourceLinked="0"/>
        <c:majorTickMark val="none"/>
        <c:minorTickMark val="none"/>
        <c:tickLblPos val="nextTo"/>
        <c:spPr>
          <a:ln w="6350">
            <a:solidFill>
              <a:srgbClr val="BFBFBF"/>
            </a:solidFill>
            <a:prstDash val="solid"/>
          </a:ln>
        </c:spPr>
        <c:txPr>
          <a:bodyPr/>
          <a:lstStyle/>
          <a:p>
            <a:pPr>
              <a:defRPr sz="1000"/>
            </a:pPr>
            <a:endParaRPr lang="en-UA"/>
          </a:p>
        </c:txPr>
        <c:crossAx val="10"/>
        <c:crosses val="autoZero"/>
        <c:crossBetween val="between"/>
      </c:valAx>
    </c:plotArea>
    <c:legend>
      <c:legendPos val="b"/>
      <c:overlay val="0"/>
      <c:txPr>
        <a:bodyPr/>
        <a:lstStyle/>
        <a:p>
          <a:pPr>
            <a:defRPr sz="1000"/>
          </a:pPr>
          <a:endParaRPr lang="en-UA"/>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Figure_2!$B$6</c:f>
              <c:strCache>
                <c:ptCount val="1"/>
                <c:pt idx="0">
                  <c:v>Ukraine</c:v>
                </c:pt>
              </c:strCache>
            </c:strRef>
          </c:tx>
          <c:spPr>
            <a:ln>
              <a:noFill/>
              <a:prstDash val="solid"/>
            </a:ln>
          </c:spPr>
          <c:marker>
            <c:symbol val="circle"/>
            <c:size val="10"/>
            <c:spPr>
              <a:solidFill>
                <a:srgbClr val="000000"/>
              </a:solidFill>
              <a:ln w="12700">
                <a:solidFill>
                  <a:srgbClr val="000000"/>
                </a:solidFill>
                <a:prstDash val="solid"/>
              </a:ln>
            </c:spPr>
          </c:marker>
          <c:cat>
            <c:strRef>
              <c:f>Figure_2!$A$7:$A$13</c:f>
              <c:strCache>
                <c:ptCount val="7"/>
                <c:pt idx="0">
                  <c:v>C</c:v>
                </c:pt>
                <c:pt idx="1">
                  <c:v>L1</c:v>
                </c:pt>
                <c:pt idx="2">
                  <c:v>L2</c:v>
                </c:pt>
                <c:pt idx="3">
                  <c:v>L3</c:v>
                </c:pt>
                <c:pt idx="4">
                  <c:v>L4</c:v>
                </c:pt>
                <c:pt idx="5">
                  <c:v>DM_I</c:v>
                </c:pt>
                <c:pt idx="6">
                  <c:v>DM_S</c:v>
                </c:pt>
              </c:strCache>
            </c:strRef>
          </c:cat>
          <c:val>
            <c:numRef>
              <c:f>Figure_2!$B$7:$B$13</c:f>
              <c:numCache>
                <c:formatCode>0.00</c:formatCode>
                <c:ptCount val="7"/>
                <c:pt idx="0">
                  <c:v>0.17392266674442028</c:v>
                </c:pt>
                <c:pt idx="1">
                  <c:v>0.23417283141449302</c:v>
                </c:pt>
                <c:pt idx="2">
                  <c:v>0.36886287936698087</c:v>
                </c:pt>
                <c:pt idx="3">
                  <c:v>0.35816637363864023</c:v>
                </c:pt>
                <c:pt idx="4">
                  <c:v>0.31068594867071531</c:v>
                </c:pt>
                <c:pt idx="5">
                  <c:v>0.2878422920892495</c:v>
                </c:pt>
                <c:pt idx="6">
                  <c:v>0.23855688878459491</c:v>
                </c:pt>
              </c:numCache>
            </c:numRef>
          </c:val>
          <c:smooth val="0"/>
          <c:extLst>
            <c:ext xmlns:c16="http://schemas.microsoft.com/office/drawing/2014/chart" uri="{C3380CC4-5D6E-409C-BE32-E72D297353CC}">
              <c16:uniqueId val="{00000000-10AF-D649-B5F3-40BACB27EF57}"/>
            </c:ext>
          </c:extLst>
        </c:ser>
        <c:ser>
          <c:idx val="1"/>
          <c:order val="1"/>
          <c:tx>
            <c:strRef>
              <c:f>Figure_2!$C$6</c:f>
              <c:strCache>
                <c:ptCount val="1"/>
                <c:pt idx="0">
                  <c:v>Level 3 countries, mean</c:v>
                </c:pt>
              </c:strCache>
            </c:strRef>
          </c:tx>
          <c:spPr>
            <a:ln>
              <a:noFill/>
              <a:prstDash val="solid"/>
            </a:ln>
          </c:spPr>
          <c:marker>
            <c:symbol val="square"/>
            <c:size val="8"/>
            <c:spPr>
              <a:solidFill>
                <a:srgbClr val="A6A6A6"/>
              </a:solidFill>
              <a:ln w="12700">
                <a:solidFill>
                  <a:srgbClr val="404040"/>
                </a:solidFill>
                <a:prstDash val="solid"/>
              </a:ln>
            </c:spPr>
          </c:marker>
          <c:cat>
            <c:strRef>
              <c:f>Figure_2!$A$7:$A$13</c:f>
              <c:strCache>
                <c:ptCount val="7"/>
                <c:pt idx="0">
                  <c:v>C</c:v>
                </c:pt>
                <c:pt idx="1">
                  <c:v>L1</c:v>
                </c:pt>
                <c:pt idx="2">
                  <c:v>L2</c:v>
                </c:pt>
                <c:pt idx="3">
                  <c:v>L3</c:v>
                </c:pt>
                <c:pt idx="4">
                  <c:v>L4</c:v>
                </c:pt>
                <c:pt idx="5">
                  <c:v>DM_I</c:v>
                </c:pt>
                <c:pt idx="6">
                  <c:v>DM_S</c:v>
                </c:pt>
              </c:strCache>
            </c:strRef>
          </c:cat>
          <c:val>
            <c:numRef>
              <c:f>Figure_2!$C$7:$C$13</c:f>
              <c:numCache>
                <c:formatCode>0.00</c:formatCode>
                <c:ptCount val="7"/>
                <c:pt idx="0">
                  <c:v>0.44929589351123933</c:v>
                </c:pt>
                <c:pt idx="1">
                  <c:v>0.35687569851184336</c:v>
                </c:pt>
                <c:pt idx="2">
                  <c:v>0.5107672202523813</c:v>
                </c:pt>
                <c:pt idx="3">
                  <c:v>0.65898503208923942</c:v>
                </c:pt>
                <c:pt idx="4">
                  <c:v>0.55546197857454915</c:v>
                </c:pt>
                <c:pt idx="5">
                  <c:v>0.2983635480054091</c:v>
                </c:pt>
                <c:pt idx="6">
                  <c:v>0.43925493791498488</c:v>
                </c:pt>
              </c:numCache>
            </c:numRef>
          </c:val>
          <c:smooth val="0"/>
          <c:extLst>
            <c:ext xmlns:c16="http://schemas.microsoft.com/office/drawing/2014/chart" uri="{C3380CC4-5D6E-409C-BE32-E72D297353CC}">
              <c16:uniqueId val="{00000001-10AF-D649-B5F3-40BACB27EF57}"/>
            </c:ext>
          </c:extLst>
        </c:ser>
        <c:ser>
          <c:idx val="2"/>
          <c:order val="2"/>
          <c:tx>
            <c:strRef>
              <c:f>Figure_2!$D$6</c:f>
              <c:strCache>
                <c:ptCount val="1"/>
                <c:pt idx="0">
                  <c:v>Level 4 countries, mean</c:v>
                </c:pt>
              </c:strCache>
            </c:strRef>
          </c:tx>
          <c:spPr>
            <a:ln>
              <a:noFill/>
              <a:prstDash val="solid"/>
            </a:ln>
          </c:spPr>
          <c:marker>
            <c:symbol val="triangle"/>
            <c:size val="9"/>
            <c:spPr>
              <a:noFill/>
              <a:ln w="12700">
                <a:solidFill>
                  <a:srgbClr val="000000"/>
                </a:solidFill>
                <a:prstDash val="solid"/>
              </a:ln>
            </c:spPr>
          </c:marker>
          <c:cat>
            <c:strRef>
              <c:f>Figure_2!$A$7:$A$13</c:f>
              <c:strCache>
                <c:ptCount val="7"/>
                <c:pt idx="0">
                  <c:v>C</c:v>
                </c:pt>
                <c:pt idx="1">
                  <c:v>L1</c:v>
                </c:pt>
                <c:pt idx="2">
                  <c:v>L2</c:v>
                </c:pt>
                <c:pt idx="3">
                  <c:v>L3</c:v>
                </c:pt>
                <c:pt idx="4">
                  <c:v>L4</c:v>
                </c:pt>
                <c:pt idx="5">
                  <c:v>DM_I</c:v>
                </c:pt>
                <c:pt idx="6">
                  <c:v>DM_S</c:v>
                </c:pt>
              </c:strCache>
            </c:strRef>
          </c:cat>
          <c:val>
            <c:numRef>
              <c:f>Figure_2!$D$7:$D$13</c:f>
              <c:numCache>
                <c:formatCode>0.00</c:formatCode>
                <c:ptCount val="7"/>
                <c:pt idx="0">
                  <c:v>0.61202871704517614</c:v>
                </c:pt>
                <c:pt idx="1">
                  <c:v>0.40090031866066783</c:v>
                </c:pt>
                <c:pt idx="2">
                  <c:v>0.68466426391631163</c:v>
                </c:pt>
                <c:pt idx="3">
                  <c:v>0.84436186622398612</c:v>
                </c:pt>
                <c:pt idx="4">
                  <c:v>0.76788110025810929</c:v>
                </c:pt>
                <c:pt idx="5">
                  <c:v>0.56763426395462402</c:v>
                </c:pt>
                <c:pt idx="6">
                  <c:v>0.6492367460432088</c:v>
                </c:pt>
              </c:numCache>
            </c:numRef>
          </c:val>
          <c:smooth val="0"/>
          <c:extLst>
            <c:ext xmlns:c16="http://schemas.microsoft.com/office/drawing/2014/chart" uri="{C3380CC4-5D6E-409C-BE32-E72D297353CC}">
              <c16:uniqueId val="{00000002-10AF-D649-B5F3-40BACB27EF57}"/>
            </c:ext>
          </c:extLst>
        </c:ser>
        <c:ser>
          <c:idx val="3"/>
          <c:order val="3"/>
          <c:tx>
            <c:strRef>
              <c:f>Figure_2!$E$6</c:f>
              <c:strCache>
                <c:ptCount val="1"/>
                <c:pt idx="0">
                  <c:v>EU-27</c:v>
                </c:pt>
              </c:strCache>
            </c:strRef>
          </c:tx>
          <c:spPr>
            <a:ln>
              <a:noFill/>
              <a:prstDash val="solid"/>
            </a:ln>
          </c:spPr>
          <c:marker>
            <c:symbol val="dash"/>
            <c:size val="12"/>
            <c:spPr>
              <a:solidFill>
                <a:srgbClr val="000000"/>
              </a:solidFill>
              <a:ln w="12700">
                <a:solidFill>
                  <a:srgbClr val="000000"/>
                </a:solidFill>
                <a:prstDash val="solid"/>
              </a:ln>
            </c:spPr>
          </c:marker>
          <c:cat>
            <c:strRef>
              <c:f>Figure_2!$A$7:$A$13</c:f>
              <c:strCache>
                <c:ptCount val="7"/>
                <c:pt idx="0">
                  <c:v>C</c:v>
                </c:pt>
                <c:pt idx="1">
                  <c:v>L1</c:v>
                </c:pt>
                <c:pt idx="2">
                  <c:v>L2</c:v>
                </c:pt>
                <c:pt idx="3">
                  <c:v>L3</c:v>
                </c:pt>
                <c:pt idx="4">
                  <c:v>L4</c:v>
                </c:pt>
                <c:pt idx="5">
                  <c:v>DM_I</c:v>
                </c:pt>
                <c:pt idx="6">
                  <c:v>DM_S</c:v>
                </c:pt>
              </c:strCache>
            </c:strRef>
          </c:cat>
          <c:val>
            <c:numRef>
              <c:f>Figure_2!$E$7:$E$13</c:f>
              <c:numCache>
                <c:formatCode>0.00</c:formatCode>
                <c:ptCount val="7"/>
                <c:pt idx="0">
                  <c:v>0.51339238027652934</c:v>
                </c:pt>
                <c:pt idx="1">
                  <c:v>0.4082114636891348</c:v>
                </c:pt>
                <c:pt idx="2">
                  <c:v>0.53168491473873092</c:v>
                </c:pt>
                <c:pt idx="3">
                  <c:v>0.71734079231025216</c:v>
                </c:pt>
                <c:pt idx="4">
                  <c:v>0.62060694747090672</c:v>
                </c:pt>
                <c:pt idx="5">
                  <c:v>0.43058584065810235</c:v>
                </c:pt>
                <c:pt idx="6">
                  <c:v>0.55128567581699917</c:v>
                </c:pt>
              </c:numCache>
            </c:numRef>
          </c:val>
          <c:smooth val="0"/>
          <c:extLst>
            <c:ext xmlns:c16="http://schemas.microsoft.com/office/drawing/2014/chart" uri="{C3380CC4-5D6E-409C-BE32-E72D297353CC}">
              <c16:uniqueId val="{00000003-10AF-D649-B5F3-40BACB27EF57}"/>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spPr>
          <a:ln w="6350">
            <a:solidFill>
              <a:srgbClr val="BFBFBF"/>
            </a:solidFill>
            <a:prstDash val="solid"/>
          </a:ln>
        </c:spPr>
        <c:txPr>
          <a:bodyPr/>
          <a:lstStyle/>
          <a:p>
            <a:pPr>
              <a:defRPr sz="1000"/>
            </a:pPr>
            <a:endParaRPr lang="en-UA"/>
          </a:p>
        </c:txPr>
        <c:crossAx val="100"/>
        <c:crosses val="autoZero"/>
        <c:auto val="0"/>
        <c:lblAlgn val="ctr"/>
        <c:lblOffset val="100"/>
        <c:noMultiLvlLbl val="0"/>
      </c:catAx>
      <c:valAx>
        <c:axId val="100"/>
        <c:scaling>
          <c:orientation val="minMax"/>
          <c:max val="1"/>
          <c:min val="0"/>
        </c:scaling>
        <c:delete val="0"/>
        <c:axPos val="l"/>
        <c:majorGridlines>
          <c:spPr>
            <a:ln w="6350">
              <a:solidFill>
                <a:srgbClr val="E0E0E0"/>
              </a:solidFill>
              <a:prstDash val="solid"/>
            </a:ln>
          </c:spPr>
        </c:majorGridlines>
        <c:title>
          <c:tx>
            <c:strRef>
              <c:f>Figure_2!$B$5</c:f>
              <c:strCache>
                <c:ptCount val="1"/>
                <c:pt idx="0">
                  <c:v>Layer score (share of the EU leader)</c:v>
                </c:pt>
              </c:strCache>
            </c:strRef>
          </c:tx>
          <c:overlay val="0"/>
        </c:title>
        <c:numFmt formatCode="0.0" sourceLinked="0"/>
        <c:majorTickMark val="none"/>
        <c:minorTickMark val="none"/>
        <c:tickLblPos val="nextTo"/>
        <c:spPr>
          <a:ln w="6350">
            <a:solidFill>
              <a:srgbClr val="BFBFBF"/>
            </a:solidFill>
            <a:prstDash val="solid"/>
          </a:ln>
        </c:spPr>
        <c:txPr>
          <a:bodyPr/>
          <a:lstStyle/>
          <a:p>
            <a:pPr>
              <a:defRPr sz="1000"/>
            </a:pPr>
            <a:endParaRPr lang="en-UA"/>
          </a:p>
        </c:txPr>
        <c:crossAx val="10"/>
        <c:crosses val="autoZero"/>
        <c:crossBetween val="between"/>
        <c:majorUnit val="0.2"/>
      </c:valAx>
    </c:plotArea>
    <c:legend>
      <c:legendPos val="b"/>
      <c:overlay val="0"/>
      <c:txPr>
        <a:bodyPr/>
        <a:lstStyle/>
        <a:p>
          <a:pPr>
            <a:defRPr sz="1000"/>
          </a:pPr>
          <a:endParaRPr lang="en-UA"/>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8640000" cy="432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2</xdr:row>
      <xdr:rowOff>0</xdr:rowOff>
    </xdr:from>
    <xdr:ext cx="8640000" cy="396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workbookViewId="0">
      <selection activeCell="A29" sqref="A29:XFD29"/>
    </sheetView>
  </sheetViews>
  <sheetFormatPr baseColWidth="10" defaultColWidth="8.83203125" defaultRowHeight="15" x14ac:dyDescent="0.2"/>
  <cols>
    <col min="1" max="1" width="160" customWidth="1"/>
  </cols>
  <sheetData>
    <row r="1" spans="1:1" ht="17" x14ac:dyDescent="0.2">
      <c r="A1" s="1" t="s">
        <v>0</v>
      </c>
    </row>
    <row r="3" spans="1:1" ht="32" x14ac:dyDescent="0.2">
      <c r="A3" s="2" t="s">
        <v>1</v>
      </c>
    </row>
    <row r="5" spans="1:1" x14ac:dyDescent="0.2">
      <c r="A5" s="3" t="s">
        <v>2</v>
      </c>
    </row>
    <row r="6" spans="1:1" ht="16" x14ac:dyDescent="0.2">
      <c r="A6" s="2" t="s">
        <v>3</v>
      </c>
    </row>
    <row r="7" spans="1:1" ht="16" x14ac:dyDescent="0.2">
      <c r="A7" s="2" t="s">
        <v>4</v>
      </c>
    </row>
    <row r="8" spans="1:1" ht="48" x14ac:dyDescent="0.2">
      <c r="A8" s="2" t="s">
        <v>5</v>
      </c>
    </row>
    <row r="9" spans="1:1" ht="16" x14ac:dyDescent="0.2">
      <c r="A9" s="2" t="s">
        <v>6</v>
      </c>
    </row>
    <row r="10" spans="1:1" ht="32" x14ac:dyDescent="0.2">
      <c r="A10" s="2" t="s">
        <v>7</v>
      </c>
    </row>
    <row r="11" spans="1:1" ht="16" x14ac:dyDescent="0.2">
      <c r="A11" s="2" t="s">
        <v>8</v>
      </c>
    </row>
    <row r="12" spans="1:1" ht="16" x14ac:dyDescent="0.2">
      <c r="A12" s="2" t="s">
        <v>9</v>
      </c>
    </row>
    <row r="13" spans="1:1" ht="16" x14ac:dyDescent="0.2">
      <c r="A13" s="2" t="s">
        <v>10</v>
      </c>
    </row>
    <row r="14" spans="1:1" ht="16" x14ac:dyDescent="0.2">
      <c r="A14" s="2" t="s">
        <v>11</v>
      </c>
    </row>
    <row r="15" spans="1:1" ht="48" x14ac:dyDescent="0.2">
      <c r="A15" s="2" t="s">
        <v>12</v>
      </c>
    </row>
    <row r="16" spans="1:1" ht="32" x14ac:dyDescent="0.2">
      <c r="A16" s="2" t="s">
        <v>13</v>
      </c>
    </row>
    <row r="17" spans="1:1" ht="16" x14ac:dyDescent="0.2">
      <c r="A17" s="2" t="s">
        <v>14</v>
      </c>
    </row>
    <row r="18" spans="1:1" ht="16" x14ac:dyDescent="0.2">
      <c r="A18" s="2" t="s">
        <v>15</v>
      </c>
    </row>
    <row r="19" spans="1:1" ht="16" x14ac:dyDescent="0.2">
      <c r="A19" s="2" t="s">
        <v>16</v>
      </c>
    </row>
    <row r="20" spans="1:1" ht="16" x14ac:dyDescent="0.2">
      <c r="A20" s="2" t="s">
        <v>17</v>
      </c>
    </row>
    <row r="21" spans="1:1" ht="16" x14ac:dyDescent="0.2">
      <c r="A21" s="2" t="s">
        <v>18</v>
      </c>
    </row>
    <row r="23" spans="1:1" x14ac:dyDescent="0.2">
      <c r="A23" s="3" t="s">
        <v>19</v>
      </c>
    </row>
    <row r="24" spans="1:1" ht="16" x14ac:dyDescent="0.2">
      <c r="A24" s="2" t="s">
        <v>20</v>
      </c>
    </row>
    <row r="25" spans="1:1" ht="16" x14ac:dyDescent="0.2">
      <c r="A25" s="2" t="s">
        <v>21</v>
      </c>
    </row>
    <row r="26" spans="1:1" ht="16" x14ac:dyDescent="0.2">
      <c r="A26" s="2" t="s">
        <v>22</v>
      </c>
    </row>
    <row r="28" spans="1:1" x14ac:dyDescent="0.2">
      <c r="A28" s="3" t="s">
        <v>23</v>
      </c>
    </row>
    <row r="29" spans="1:1" ht="16" x14ac:dyDescent="0.2">
      <c r="A29"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heetViews>
  <sheetFormatPr baseColWidth="10" defaultColWidth="8.83203125" defaultRowHeight="15" x14ac:dyDescent="0.2"/>
  <cols>
    <col min="1" max="1" width="24" customWidth="1"/>
    <col min="3" max="3" width="50" customWidth="1"/>
  </cols>
  <sheetData>
    <row r="1" spans="1:3" ht="17" x14ac:dyDescent="0.2">
      <c r="A1" s="1" t="s">
        <v>25</v>
      </c>
    </row>
    <row r="3" spans="1:3" x14ac:dyDescent="0.2">
      <c r="A3" t="s">
        <v>26</v>
      </c>
      <c r="B3" s="4">
        <v>0.4</v>
      </c>
      <c r="C3" t="s">
        <v>27</v>
      </c>
    </row>
    <row r="4" spans="1:3" x14ac:dyDescent="0.2">
      <c r="A4" t="s">
        <v>28</v>
      </c>
      <c r="B4" s="4">
        <v>0.375</v>
      </c>
      <c r="C4" t="s">
        <v>29</v>
      </c>
    </row>
    <row r="5" spans="1:3" x14ac:dyDescent="0.2">
      <c r="A5" t="s">
        <v>30</v>
      </c>
      <c r="B5" s="4">
        <v>1</v>
      </c>
      <c r="C5" t="s">
        <v>31</v>
      </c>
    </row>
    <row r="9" spans="1:3" x14ac:dyDescent="0.2">
      <c r="A9" s="3" t="s">
        <v>32</v>
      </c>
    </row>
    <row r="10" spans="1:3" x14ac:dyDescent="0.2">
      <c r="B10" s="4">
        <v>0.2</v>
      </c>
    </row>
    <row r="11" spans="1:3" x14ac:dyDescent="0.2">
      <c r="B11" s="4">
        <v>0.4</v>
      </c>
    </row>
    <row r="12" spans="1:3" x14ac:dyDescent="0.2">
      <c r="B12" s="4">
        <v>0.6</v>
      </c>
    </row>
    <row r="13" spans="1:3" x14ac:dyDescent="0.2">
      <c r="B13" s="4">
        <v>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28"/>
  <sheetViews>
    <sheetView workbookViewId="0"/>
  </sheetViews>
  <sheetFormatPr baseColWidth="10" defaultColWidth="8.83203125" defaultRowHeight="15" x14ac:dyDescent="0.2"/>
  <sheetData>
    <row r="1" spans="1:34" ht="17" x14ac:dyDescent="0.2">
      <c r="A1" s="1" t="s">
        <v>33</v>
      </c>
    </row>
    <row r="3" spans="1:34" x14ac:dyDescent="0.2">
      <c r="A3" s="3" t="s">
        <v>34</v>
      </c>
    </row>
    <row r="4" spans="1:34" x14ac:dyDescent="0.2">
      <c r="A4" s="3" t="s">
        <v>35</v>
      </c>
      <c r="B4" s="3" t="s">
        <v>36</v>
      </c>
      <c r="C4" s="3" t="s">
        <v>37</v>
      </c>
      <c r="D4" s="3" t="s">
        <v>38</v>
      </c>
      <c r="E4" s="3" t="s">
        <v>39</v>
      </c>
      <c r="F4" s="3" t="s">
        <v>40</v>
      </c>
      <c r="G4" s="3" t="s">
        <v>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row>
    <row r="5" spans="1:34" x14ac:dyDescent="0.2">
      <c r="A5" t="s">
        <v>69</v>
      </c>
      <c r="B5" t="s">
        <v>70</v>
      </c>
      <c r="C5" t="s">
        <v>71</v>
      </c>
      <c r="D5" s="5">
        <v>3.84</v>
      </c>
      <c r="E5" s="5">
        <v>21.19</v>
      </c>
      <c r="F5" s="5">
        <v>0.56000000000000005</v>
      </c>
      <c r="G5" s="5">
        <v>0.5</v>
      </c>
      <c r="H5" s="5">
        <v>3.41</v>
      </c>
      <c r="I5" s="5">
        <v>18.260000000000002</v>
      </c>
      <c r="J5" s="5">
        <v>21.11</v>
      </c>
      <c r="K5" s="5">
        <v>8.0299999999999994</v>
      </c>
      <c r="L5" s="5">
        <v>0.43</v>
      </c>
      <c r="M5" s="5">
        <v>15.35</v>
      </c>
      <c r="N5" s="5">
        <v>19.149999999999999</v>
      </c>
      <c r="O5" s="5">
        <v>22.42</v>
      </c>
      <c r="P5" s="5">
        <v>2.08</v>
      </c>
      <c r="Q5" s="5">
        <v>2.62</v>
      </c>
      <c r="R5" s="5">
        <v>8</v>
      </c>
      <c r="S5" s="5">
        <v>4.46</v>
      </c>
      <c r="T5" s="5">
        <v>0.46</v>
      </c>
      <c r="U5" s="5">
        <v>24.02</v>
      </c>
      <c r="V5" s="5">
        <v>4.68</v>
      </c>
      <c r="W5" s="5">
        <v>3.69</v>
      </c>
      <c r="X5" s="5">
        <v>35.020000000000003</v>
      </c>
      <c r="Y5" s="5">
        <v>1.34</v>
      </c>
      <c r="Z5" s="5">
        <v>0.39</v>
      </c>
      <c r="AA5" s="5">
        <v>3.26</v>
      </c>
      <c r="AB5" s="5">
        <v>12.22</v>
      </c>
      <c r="AC5" s="5">
        <v>1.59</v>
      </c>
      <c r="AD5" s="5">
        <v>1.31</v>
      </c>
      <c r="AE5" s="5">
        <v>6.79</v>
      </c>
      <c r="AF5">
        <f t="shared" ref="AF5:AF14" si="0">MAX(D5:AD5)</f>
        <v>35.020000000000003</v>
      </c>
      <c r="AG5" t="str">
        <f t="shared" ref="AG5:AG14" si="1">INDEX($D$4:$AD$4,MATCH(AF5,D5:AD5,0))</f>
        <v>NL</v>
      </c>
      <c r="AH5" t="s">
        <v>72</v>
      </c>
    </row>
    <row r="6" spans="1:34" x14ac:dyDescent="0.2">
      <c r="A6" t="s">
        <v>73</v>
      </c>
      <c r="B6" t="s">
        <v>74</v>
      </c>
      <c r="C6" t="s">
        <v>73</v>
      </c>
      <c r="D6" s="5">
        <v>0.08</v>
      </c>
      <c r="E6" s="5">
        <v>6.23</v>
      </c>
      <c r="F6" s="5">
        <v>0.26</v>
      </c>
      <c r="G6" s="5">
        <v>0.04</v>
      </c>
      <c r="H6" s="5">
        <v>0.86</v>
      </c>
      <c r="I6" s="5">
        <v>3.27</v>
      </c>
      <c r="J6" s="5">
        <v>19.649999999999999</v>
      </c>
      <c r="K6" s="5">
        <v>5.04</v>
      </c>
      <c r="L6" s="5">
        <v>0.1</v>
      </c>
      <c r="M6" s="5">
        <v>1.91</v>
      </c>
      <c r="N6" s="5">
        <v>12.43</v>
      </c>
      <c r="O6" s="5">
        <v>12.98</v>
      </c>
      <c r="P6" s="5">
        <v>0.18</v>
      </c>
      <c r="Q6" s="5">
        <v>1.01</v>
      </c>
      <c r="R6" s="5">
        <v>7.52</v>
      </c>
      <c r="S6" s="5">
        <v>0.11</v>
      </c>
      <c r="T6" s="5">
        <v>0.05</v>
      </c>
      <c r="U6" s="5">
        <v>2.86</v>
      </c>
      <c r="V6" s="5">
        <v>2.72</v>
      </c>
      <c r="X6" s="5">
        <v>6.75</v>
      </c>
      <c r="Y6" s="5">
        <v>0.22</v>
      </c>
      <c r="Z6" s="5">
        <v>0.21</v>
      </c>
      <c r="AA6" s="5">
        <v>0.14000000000000001</v>
      </c>
      <c r="AB6" s="5">
        <v>4.7300000000000004</v>
      </c>
      <c r="AD6" s="5">
        <v>0.59</v>
      </c>
      <c r="AE6" s="5">
        <v>1.76</v>
      </c>
      <c r="AF6">
        <f t="shared" si="0"/>
        <v>19.649999999999999</v>
      </c>
      <c r="AG6" t="str">
        <f t="shared" si="1"/>
        <v>DK</v>
      </c>
      <c r="AH6" t="s">
        <v>75</v>
      </c>
    </row>
    <row r="7" spans="1:34" x14ac:dyDescent="0.2">
      <c r="A7" t="s">
        <v>76</v>
      </c>
      <c r="B7" t="s">
        <v>74</v>
      </c>
      <c r="C7" t="s">
        <v>77</v>
      </c>
      <c r="D7" s="5">
        <v>2.35</v>
      </c>
      <c r="E7" s="5">
        <v>7.68</v>
      </c>
      <c r="F7" s="5">
        <v>0.28999999999999998</v>
      </c>
      <c r="G7" s="5">
        <v>0.02</v>
      </c>
      <c r="H7" s="5">
        <v>0.76</v>
      </c>
      <c r="I7" s="5">
        <v>7.7</v>
      </c>
      <c r="J7" s="5">
        <v>2.61</v>
      </c>
      <c r="K7" s="5">
        <v>4.75</v>
      </c>
      <c r="L7" s="5">
        <v>3.17</v>
      </c>
      <c r="M7" s="5">
        <v>7.26</v>
      </c>
      <c r="N7" s="5">
        <v>2.92</v>
      </c>
      <c r="O7" s="5">
        <v>4.9800000000000004</v>
      </c>
      <c r="P7" s="5">
        <v>4.83</v>
      </c>
      <c r="Q7" s="5">
        <v>3.34</v>
      </c>
      <c r="R7" s="5">
        <v>3.21</v>
      </c>
      <c r="S7" s="5">
        <v>0.14000000000000001</v>
      </c>
      <c r="T7" s="5">
        <v>0.43</v>
      </c>
      <c r="U7" s="5">
        <v>9.14</v>
      </c>
      <c r="V7" s="5">
        <v>1.39</v>
      </c>
      <c r="W7" s="5">
        <v>0.39</v>
      </c>
      <c r="X7" s="5">
        <v>3.43</v>
      </c>
      <c r="Y7" s="5">
        <v>12.66</v>
      </c>
      <c r="Z7" s="5">
        <v>0.72</v>
      </c>
      <c r="AA7" s="5">
        <v>0.45</v>
      </c>
      <c r="AB7" s="5">
        <v>1.28</v>
      </c>
      <c r="AD7" s="5">
        <v>0.18</v>
      </c>
      <c r="AE7" s="5">
        <v>4.21</v>
      </c>
      <c r="AF7">
        <f t="shared" si="0"/>
        <v>12.66</v>
      </c>
      <c r="AG7" t="str">
        <f t="shared" si="1"/>
        <v>PL</v>
      </c>
      <c r="AH7" t="s">
        <v>75</v>
      </c>
    </row>
    <row r="8" spans="1:34" x14ac:dyDescent="0.2">
      <c r="A8" t="s">
        <v>78</v>
      </c>
      <c r="B8" t="s">
        <v>74</v>
      </c>
      <c r="C8" t="s">
        <v>79</v>
      </c>
      <c r="D8" s="5">
        <v>6.44</v>
      </c>
      <c r="E8" s="5">
        <v>9.2200000000000006</v>
      </c>
      <c r="F8" s="5">
        <v>0.9</v>
      </c>
      <c r="G8" s="5">
        <v>0.08</v>
      </c>
      <c r="H8" s="5">
        <v>3.36</v>
      </c>
      <c r="I8" s="5">
        <v>18.59</v>
      </c>
      <c r="J8" s="5">
        <v>11.18</v>
      </c>
      <c r="K8" s="5">
        <v>9.6</v>
      </c>
      <c r="L8" s="5">
        <v>1.59</v>
      </c>
      <c r="M8" s="5">
        <v>3.99</v>
      </c>
      <c r="N8" s="5">
        <v>9.0500000000000007</v>
      </c>
      <c r="O8" s="5">
        <v>3.87</v>
      </c>
      <c r="P8" s="5">
        <v>1.9</v>
      </c>
      <c r="Q8" s="5">
        <v>5.8</v>
      </c>
      <c r="R8" s="5">
        <v>2.4900000000000002</v>
      </c>
      <c r="S8" s="5">
        <v>4.28</v>
      </c>
      <c r="T8" s="5">
        <v>0.87</v>
      </c>
      <c r="U8" s="5">
        <v>15.43</v>
      </c>
      <c r="V8" s="5">
        <v>4.08</v>
      </c>
      <c r="W8" s="5">
        <v>3.12</v>
      </c>
      <c r="X8" s="5">
        <v>11.32</v>
      </c>
      <c r="Y8" s="5">
        <v>13.69</v>
      </c>
      <c r="Z8" s="5">
        <v>0.36</v>
      </c>
      <c r="AA8" s="5">
        <v>0.78</v>
      </c>
      <c r="AB8" s="5">
        <v>4.8099999999999996</v>
      </c>
      <c r="AD8" s="5">
        <v>0.71</v>
      </c>
      <c r="AE8" s="5">
        <v>5.32</v>
      </c>
      <c r="AF8">
        <f t="shared" si="0"/>
        <v>18.59</v>
      </c>
      <c r="AG8" t="str">
        <f t="shared" si="1"/>
        <v>DE</v>
      </c>
      <c r="AH8" t="s">
        <v>75</v>
      </c>
    </row>
    <row r="9" spans="1:34" x14ac:dyDescent="0.2">
      <c r="A9" t="s">
        <v>80</v>
      </c>
      <c r="B9" t="s">
        <v>74</v>
      </c>
      <c r="C9" t="s">
        <v>81</v>
      </c>
      <c r="D9" s="5">
        <v>1.88</v>
      </c>
      <c r="E9" s="5">
        <v>6.54</v>
      </c>
      <c r="F9" s="5">
        <v>0.43</v>
      </c>
      <c r="G9" s="5">
        <v>0.04</v>
      </c>
      <c r="H9" s="5">
        <v>1.77</v>
      </c>
      <c r="I9" s="5">
        <v>20.96</v>
      </c>
      <c r="J9" s="5">
        <v>4.59</v>
      </c>
      <c r="K9" s="5">
        <v>4.66</v>
      </c>
      <c r="L9" s="5">
        <v>0.36</v>
      </c>
      <c r="M9" s="5">
        <v>2.4700000000000002</v>
      </c>
      <c r="N9" s="5">
        <v>9.43</v>
      </c>
      <c r="O9" s="5">
        <v>13.45</v>
      </c>
      <c r="P9" s="5">
        <v>0.73</v>
      </c>
      <c r="Q9" s="5">
        <v>5.32</v>
      </c>
      <c r="R9" s="5">
        <v>1.7</v>
      </c>
      <c r="S9" s="5">
        <v>1.61</v>
      </c>
      <c r="T9" s="5">
        <v>0.82</v>
      </c>
      <c r="U9" s="5">
        <v>4</v>
      </c>
      <c r="V9" s="5">
        <v>1.0900000000000001</v>
      </c>
      <c r="W9" s="5">
        <v>3.12</v>
      </c>
      <c r="X9" s="5">
        <v>2.67</v>
      </c>
      <c r="Y9" s="5">
        <v>2.82</v>
      </c>
      <c r="Z9" s="5">
        <v>1.1299999999999999</v>
      </c>
      <c r="AA9" s="5">
        <v>0.37</v>
      </c>
      <c r="AB9" s="5">
        <v>1.21</v>
      </c>
      <c r="AC9" s="5">
        <v>0.68</v>
      </c>
      <c r="AD9" s="5">
        <v>0.41</v>
      </c>
      <c r="AE9" s="5">
        <v>3.23</v>
      </c>
      <c r="AF9">
        <f t="shared" si="0"/>
        <v>20.96</v>
      </c>
      <c r="AG9" t="str">
        <f t="shared" si="1"/>
        <v>DE</v>
      </c>
      <c r="AH9" t="s">
        <v>75</v>
      </c>
    </row>
    <row r="10" spans="1:34" x14ac:dyDescent="0.2">
      <c r="A10" t="s">
        <v>82</v>
      </c>
      <c r="B10" t="s">
        <v>74</v>
      </c>
      <c r="C10" t="s">
        <v>83</v>
      </c>
      <c r="D10" s="5">
        <v>9.3800000000000008</v>
      </c>
      <c r="E10" s="5">
        <v>46.39</v>
      </c>
      <c r="F10" s="5">
        <v>1.59</v>
      </c>
      <c r="G10" s="5">
        <v>0.08</v>
      </c>
      <c r="H10" s="5">
        <v>1.34</v>
      </c>
      <c r="I10" s="5">
        <v>37.79</v>
      </c>
      <c r="J10" s="5">
        <v>24.86</v>
      </c>
      <c r="K10" s="5">
        <v>29.75</v>
      </c>
      <c r="L10" s="5">
        <v>2.4300000000000002</v>
      </c>
      <c r="M10" s="5">
        <v>10.11</v>
      </c>
      <c r="N10" s="5">
        <v>58.25</v>
      </c>
      <c r="O10" s="5">
        <v>41.33</v>
      </c>
      <c r="P10" s="5">
        <v>9.64</v>
      </c>
      <c r="Q10" s="5">
        <v>5.59</v>
      </c>
      <c r="R10" s="5">
        <v>40.58</v>
      </c>
      <c r="S10" s="5">
        <v>6.25</v>
      </c>
      <c r="T10" s="5">
        <v>2.37</v>
      </c>
      <c r="U10" s="5">
        <v>63.43</v>
      </c>
      <c r="V10" s="5">
        <v>5.47</v>
      </c>
      <c r="W10" s="5">
        <v>26.56</v>
      </c>
      <c r="X10" s="5">
        <v>1.71</v>
      </c>
      <c r="Y10" s="5">
        <v>12.31</v>
      </c>
      <c r="Z10" s="5">
        <v>10.199999999999999</v>
      </c>
      <c r="AA10" s="5">
        <v>0.3</v>
      </c>
      <c r="AB10" s="5">
        <v>11.68</v>
      </c>
      <c r="AC10" s="5">
        <v>13.89</v>
      </c>
      <c r="AD10" s="5">
        <v>0.65</v>
      </c>
      <c r="AE10" s="5">
        <v>11.35</v>
      </c>
      <c r="AF10">
        <f t="shared" si="0"/>
        <v>63.43</v>
      </c>
      <c r="AG10" t="str">
        <f t="shared" si="1"/>
        <v>LU</v>
      </c>
      <c r="AH10" t="s">
        <v>75</v>
      </c>
    </row>
    <row r="11" spans="1:34" x14ac:dyDescent="0.2">
      <c r="A11" t="s">
        <v>84</v>
      </c>
      <c r="B11" t="s">
        <v>85</v>
      </c>
      <c r="C11" t="s">
        <v>86</v>
      </c>
      <c r="D11" s="5">
        <v>10.88</v>
      </c>
      <c r="E11" s="5">
        <v>11.61</v>
      </c>
      <c r="F11" s="5">
        <v>0.36</v>
      </c>
      <c r="G11" s="5">
        <v>0.83</v>
      </c>
      <c r="H11" s="5">
        <v>1.69</v>
      </c>
      <c r="I11" s="5">
        <v>12.01</v>
      </c>
      <c r="J11" s="5">
        <v>8.9600000000000009</v>
      </c>
      <c r="K11" s="5">
        <v>2.0499999999999998</v>
      </c>
      <c r="L11" s="5">
        <v>0.22</v>
      </c>
      <c r="M11" s="5">
        <v>2.87</v>
      </c>
      <c r="N11" s="5">
        <v>6.49</v>
      </c>
      <c r="O11" s="5">
        <v>5.84</v>
      </c>
      <c r="P11" s="5">
        <v>0.5</v>
      </c>
      <c r="Q11" s="5">
        <v>1.5</v>
      </c>
      <c r="S11" s="5">
        <v>1.29</v>
      </c>
      <c r="T11" s="5">
        <v>0.19</v>
      </c>
      <c r="U11" s="5">
        <v>15.08</v>
      </c>
      <c r="V11" s="5">
        <v>0.28999999999999998</v>
      </c>
      <c r="W11" s="5">
        <v>3.32</v>
      </c>
      <c r="X11" s="5">
        <v>15.17</v>
      </c>
      <c r="Y11" s="5">
        <v>1.98</v>
      </c>
      <c r="Z11" s="5">
        <v>0.89</v>
      </c>
      <c r="AA11" s="5">
        <v>0.37</v>
      </c>
      <c r="AB11" s="5">
        <v>6.05</v>
      </c>
      <c r="AC11" s="5">
        <v>1.38</v>
      </c>
      <c r="AD11" s="5">
        <v>0.63</v>
      </c>
      <c r="AE11" s="5">
        <v>2.44</v>
      </c>
      <c r="AF11">
        <f t="shared" si="0"/>
        <v>15.17</v>
      </c>
      <c r="AG11" t="str">
        <f t="shared" si="1"/>
        <v>NL</v>
      </c>
      <c r="AH11" t="s">
        <v>87</v>
      </c>
    </row>
    <row r="12" spans="1:34" x14ac:dyDescent="0.2">
      <c r="A12" t="s">
        <v>88</v>
      </c>
      <c r="B12" t="s">
        <v>85</v>
      </c>
      <c r="C12" t="s">
        <v>89</v>
      </c>
      <c r="D12" s="5">
        <v>1.88</v>
      </c>
      <c r="E12" s="5">
        <v>2.85</v>
      </c>
      <c r="F12" s="5">
        <v>0.01</v>
      </c>
      <c r="G12" s="5">
        <v>0.46</v>
      </c>
      <c r="H12" s="5">
        <v>0.75</v>
      </c>
      <c r="I12" s="5">
        <v>3.46</v>
      </c>
      <c r="J12" s="5">
        <v>2.2200000000000002</v>
      </c>
      <c r="K12" s="5">
        <v>0.75</v>
      </c>
      <c r="L12" s="5">
        <v>0.2</v>
      </c>
      <c r="M12" s="5">
        <v>2.75</v>
      </c>
      <c r="N12" s="5">
        <v>3.29</v>
      </c>
      <c r="O12" s="5">
        <v>2.13</v>
      </c>
      <c r="P12" s="5">
        <v>1.27</v>
      </c>
      <c r="Q12" s="5">
        <v>0.23</v>
      </c>
      <c r="S12" s="5">
        <v>3.41</v>
      </c>
      <c r="T12" s="5">
        <v>0.1</v>
      </c>
      <c r="U12" s="5">
        <v>12.29</v>
      </c>
      <c r="V12" s="5">
        <v>0.53</v>
      </c>
      <c r="W12" s="5">
        <v>0.18</v>
      </c>
      <c r="X12" s="5">
        <v>9.6</v>
      </c>
      <c r="Y12" s="5">
        <v>0.06</v>
      </c>
      <c r="Z12" s="5">
        <v>7.0000000000000007E-2</v>
      </c>
      <c r="AA12" s="5">
        <v>2.87</v>
      </c>
      <c r="AB12" s="5">
        <v>2.23</v>
      </c>
      <c r="AC12" s="5">
        <v>1.1299999999999999</v>
      </c>
      <c r="AD12" s="5">
        <v>0.03</v>
      </c>
      <c r="AE12" s="5">
        <v>1.96</v>
      </c>
      <c r="AF12">
        <f t="shared" si="0"/>
        <v>12.29</v>
      </c>
      <c r="AG12" t="str">
        <f t="shared" si="1"/>
        <v>LU</v>
      </c>
      <c r="AH12" t="s">
        <v>87</v>
      </c>
    </row>
    <row r="13" spans="1:34" x14ac:dyDescent="0.2">
      <c r="A13" t="s">
        <v>90</v>
      </c>
      <c r="B13" t="s">
        <v>85</v>
      </c>
      <c r="C13" t="s">
        <v>91</v>
      </c>
      <c r="D13" s="5">
        <v>16.760000000000002</v>
      </c>
      <c r="E13" s="5">
        <v>17.760000000000002</v>
      </c>
      <c r="F13" s="5">
        <v>3.08</v>
      </c>
      <c r="G13" s="5">
        <v>0.83</v>
      </c>
      <c r="H13" s="5">
        <v>2.71</v>
      </c>
      <c r="I13" s="5">
        <v>11.02</v>
      </c>
      <c r="J13" s="5">
        <v>11.82</v>
      </c>
      <c r="K13" s="5">
        <v>9.6199999999999992</v>
      </c>
      <c r="L13" s="5">
        <v>0.16</v>
      </c>
      <c r="M13" s="5">
        <v>6.2</v>
      </c>
      <c r="N13" s="5">
        <v>6.16</v>
      </c>
      <c r="O13" s="5">
        <v>19.760000000000002</v>
      </c>
      <c r="P13" s="5">
        <v>4.16</v>
      </c>
      <c r="Q13" s="5">
        <v>2.58</v>
      </c>
      <c r="S13" s="5">
        <v>3.67</v>
      </c>
      <c r="T13" s="5">
        <v>1.21</v>
      </c>
      <c r="U13" s="5">
        <v>27.37</v>
      </c>
      <c r="V13" s="5">
        <v>1.78</v>
      </c>
      <c r="W13" s="5">
        <v>3.69</v>
      </c>
      <c r="X13" s="5">
        <v>20.85</v>
      </c>
      <c r="Y13" s="5">
        <v>3.21</v>
      </c>
      <c r="Z13" s="5">
        <v>0.89</v>
      </c>
      <c r="AA13" s="5">
        <v>0.38</v>
      </c>
      <c r="AB13" s="5">
        <v>12.08</v>
      </c>
      <c r="AC13" s="5">
        <v>2.86</v>
      </c>
      <c r="AD13" s="5">
        <v>0.68</v>
      </c>
      <c r="AE13" s="5">
        <v>4.6900000000000004</v>
      </c>
      <c r="AF13">
        <f t="shared" si="0"/>
        <v>27.37</v>
      </c>
      <c r="AG13" t="str">
        <f t="shared" si="1"/>
        <v>LU</v>
      </c>
      <c r="AH13" t="s">
        <v>87</v>
      </c>
    </row>
    <row r="14" spans="1:34" x14ac:dyDescent="0.2">
      <c r="A14" t="s">
        <v>92</v>
      </c>
      <c r="B14" t="s">
        <v>85</v>
      </c>
      <c r="C14" t="s">
        <v>93</v>
      </c>
      <c r="D14" s="5">
        <v>9.64</v>
      </c>
      <c r="E14" s="5">
        <v>11.58</v>
      </c>
      <c r="F14" s="5">
        <v>0.53</v>
      </c>
      <c r="G14" s="5">
        <v>0.54</v>
      </c>
      <c r="H14" s="5">
        <v>2.14</v>
      </c>
      <c r="I14" s="5">
        <v>11.67</v>
      </c>
      <c r="J14" s="5">
        <v>9.09</v>
      </c>
      <c r="K14" s="5">
        <v>1.87</v>
      </c>
      <c r="L14" s="5">
        <v>0.14000000000000001</v>
      </c>
      <c r="M14" s="5">
        <v>2</v>
      </c>
      <c r="N14" s="5">
        <v>9.73</v>
      </c>
      <c r="O14" s="5">
        <v>8.58</v>
      </c>
      <c r="P14" s="5">
        <v>0.3</v>
      </c>
      <c r="Q14" s="5">
        <v>0.85</v>
      </c>
      <c r="S14" s="5">
        <v>1.47</v>
      </c>
      <c r="T14" s="5">
        <v>0.17</v>
      </c>
      <c r="U14" s="5">
        <v>12.29</v>
      </c>
      <c r="V14" s="5">
        <v>0.43</v>
      </c>
      <c r="W14" s="5">
        <v>5.54</v>
      </c>
      <c r="X14" s="5">
        <v>15.84</v>
      </c>
      <c r="Y14" s="5">
        <v>2.13</v>
      </c>
      <c r="Z14" s="5">
        <v>0.78</v>
      </c>
      <c r="AA14" s="5">
        <v>0.17</v>
      </c>
      <c r="AB14" s="5">
        <v>8.56</v>
      </c>
      <c r="AC14" s="5">
        <v>1.92</v>
      </c>
      <c r="AD14" s="5">
        <v>0.46</v>
      </c>
      <c r="AE14" s="5">
        <v>2.5099999999999998</v>
      </c>
      <c r="AF14">
        <f t="shared" si="0"/>
        <v>15.84</v>
      </c>
      <c r="AG14" t="str">
        <f t="shared" si="1"/>
        <v>NL</v>
      </c>
      <c r="AH14" t="s">
        <v>87</v>
      </c>
    </row>
    <row r="17" spans="1:34" x14ac:dyDescent="0.2">
      <c r="A17" s="3" t="s">
        <v>94</v>
      </c>
    </row>
    <row r="18" spans="1:34" x14ac:dyDescent="0.2">
      <c r="A18" s="3" t="s">
        <v>35</v>
      </c>
      <c r="B18" s="3" t="s">
        <v>36</v>
      </c>
      <c r="C18" s="3" t="s">
        <v>37</v>
      </c>
      <c r="D18" s="3" t="s">
        <v>38</v>
      </c>
      <c r="E18" s="3" t="s">
        <v>39</v>
      </c>
      <c r="F18" s="3" t="s">
        <v>40</v>
      </c>
      <c r="G18" s="3" t="s">
        <v>41</v>
      </c>
      <c r="H18" s="3" t="s">
        <v>42</v>
      </c>
      <c r="I18" s="3" t="s">
        <v>43</v>
      </c>
      <c r="J18" s="3" t="s">
        <v>44</v>
      </c>
      <c r="K18" s="3" t="s">
        <v>45</v>
      </c>
      <c r="L18" s="3" t="s">
        <v>46</v>
      </c>
      <c r="M18" s="3" t="s">
        <v>47</v>
      </c>
      <c r="N18" s="3" t="s">
        <v>48</v>
      </c>
      <c r="O18" s="3" t="s">
        <v>49</v>
      </c>
      <c r="P18" s="3" t="s">
        <v>50</v>
      </c>
      <c r="Q18" s="3" t="s">
        <v>51</v>
      </c>
      <c r="R18" s="3" t="s">
        <v>52</v>
      </c>
      <c r="S18" s="3" t="s">
        <v>53</v>
      </c>
      <c r="T18" s="3" t="s">
        <v>54</v>
      </c>
      <c r="U18" s="3" t="s">
        <v>55</v>
      </c>
      <c r="V18" s="3" t="s">
        <v>56</v>
      </c>
      <c r="W18" s="3" t="s">
        <v>57</v>
      </c>
      <c r="X18" s="3" t="s">
        <v>58</v>
      </c>
      <c r="Y18" s="3" t="s">
        <v>59</v>
      </c>
      <c r="Z18" s="3" t="s">
        <v>60</v>
      </c>
      <c r="AA18" s="3" t="s">
        <v>61</v>
      </c>
      <c r="AB18" s="3" t="s">
        <v>62</v>
      </c>
      <c r="AC18" s="3" t="s">
        <v>63</v>
      </c>
      <c r="AD18" s="3" t="s">
        <v>64</v>
      </c>
      <c r="AE18" s="3" t="s">
        <v>65</v>
      </c>
      <c r="AF18" s="3" t="s">
        <v>66</v>
      </c>
      <c r="AG18" s="3" t="s">
        <v>67</v>
      </c>
      <c r="AH18" s="3" t="s">
        <v>68</v>
      </c>
    </row>
    <row r="19" spans="1:34" x14ac:dyDescent="0.2">
      <c r="A19" t="s">
        <v>69</v>
      </c>
      <c r="B19" t="s">
        <v>70</v>
      </c>
      <c r="C19" t="s">
        <v>71</v>
      </c>
      <c r="D19" s="5">
        <v>13.86</v>
      </c>
      <c r="E19" s="5">
        <v>33.35</v>
      </c>
      <c r="F19" s="5">
        <v>5.15</v>
      </c>
      <c r="G19" s="5">
        <v>5.15</v>
      </c>
      <c r="H19" s="5">
        <v>14.61</v>
      </c>
      <c r="I19" s="5">
        <v>42.06</v>
      </c>
      <c r="J19" s="5">
        <v>47.24</v>
      </c>
      <c r="K19" s="5">
        <v>34.590000000000003</v>
      </c>
      <c r="L19" s="5">
        <v>7.47</v>
      </c>
      <c r="M19" s="5">
        <v>39.78</v>
      </c>
      <c r="N19" s="5">
        <v>55.12</v>
      </c>
      <c r="O19" s="5">
        <v>39.31</v>
      </c>
      <c r="P19" s="5">
        <v>16.559999999999999</v>
      </c>
      <c r="Q19" s="5">
        <v>14.83</v>
      </c>
      <c r="R19" s="5">
        <v>27.23</v>
      </c>
      <c r="S19" s="5">
        <v>23.14</v>
      </c>
      <c r="T19" s="5">
        <v>5.0999999999999996</v>
      </c>
      <c r="U19" s="5">
        <v>42.27</v>
      </c>
      <c r="V19" s="5">
        <v>40.82</v>
      </c>
      <c r="W19" s="5">
        <v>31.58</v>
      </c>
      <c r="X19" s="5">
        <v>48.33</v>
      </c>
      <c r="Y19" s="5">
        <v>7.21</v>
      </c>
      <c r="Z19" s="5">
        <v>4.29</v>
      </c>
      <c r="AA19" s="5">
        <v>17.22</v>
      </c>
      <c r="AB19" s="5">
        <v>47.04</v>
      </c>
      <c r="AC19" s="5">
        <v>14</v>
      </c>
      <c r="AD19" s="5">
        <v>7.42</v>
      </c>
      <c r="AE19" s="5">
        <v>31.3</v>
      </c>
      <c r="AF19">
        <f t="shared" ref="AF19:AF28" si="2">MAX(D19:AD19)</f>
        <v>55.12</v>
      </c>
      <c r="AG19" t="str">
        <f t="shared" ref="AG19:AG28" si="3">INDEX($D$18:$AD$18,MATCH(AF19,D19:AD19,0))</f>
        <v>FI</v>
      </c>
      <c r="AH19" t="s">
        <v>72</v>
      </c>
    </row>
    <row r="20" spans="1:34" x14ac:dyDescent="0.2">
      <c r="A20" t="s">
        <v>73</v>
      </c>
      <c r="B20" t="s">
        <v>74</v>
      </c>
      <c r="C20" t="s">
        <v>73</v>
      </c>
      <c r="D20" s="5">
        <v>0.2</v>
      </c>
      <c r="E20" s="5">
        <v>13.58</v>
      </c>
      <c r="F20" s="5">
        <v>2.27</v>
      </c>
      <c r="H20" s="5">
        <v>3.72</v>
      </c>
      <c r="I20" s="5">
        <v>10</v>
      </c>
      <c r="J20" s="5">
        <v>51.23</v>
      </c>
      <c r="K20" s="5">
        <v>18.27</v>
      </c>
      <c r="L20" s="5">
        <v>2.11</v>
      </c>
      <c r="M20" s="5">
        <v>5.4</v>
      </c>
      <c r="N20" s="5">
        <v>32.71</v>
      </c>
      <c r="O20" s="5">
        <v>32.18</v>
      </c>
      <c r="P20" s="5">
        <v>2.7</v>
      </c>
      <c r="Q20" s="5">
        <v>4.51</v>
      </c>
      <c r="R20" s="5">
        <v>23.31</v>
      </c>
      <c r="S20" s="5">
        <v>1.59</v>
      </c>
      <c r="T20" s="5">
        <v>0.51</v>
      </c>
      <c r="U20" s="5">
        <v>7.55</v>
      </c>
      <c r="V20" s="5">
        <v>21.34</v>
      </c>
      <c r="X20" s="5">
        <v>22.19</v>
      </c>
      <c r="Y20" s="5">
        <v>3.96</v>
      </c>
      <c r="Z20" s="5">
        <v>2.64</v>
      </c>
      <c r="AA20" s="5">
        <v>1.28</v>
      </c>
      <c r="AB20" s="5">
        <v>18.489999999999998</v>
      </c>
      <c r="AD20" s="5">
        <v>3.53</v>
      </c>
      <c r="AE20" s="5">
        <v>16.55</v>
      </c>
      <c r="AF20">
        <f t="shared" si="2"/>
        <v>51.23</v>
      </c>
      <c r="AG20" t="str">
        <f t="shared" si="3"/>
        <v>DK</v>
      </c>
      <c r="AH20" t="s">
        <v>75</v>
      </c>
    </row>
    <row r="21" spans="1:34" x14ac:dyDescent="0.2">
      <c r="A21" t="s">
        <v>76</v>
      </c>
      <c r="B21" t="s">
        <v>74</v>
      </c>
      <c r="C21" t="s">
        <v>77</v>
      </c>
      <c r="D21" s="5">
        <v>3.25</v>
      </c>
      <c r="E21" s="5">
        <v>10.93</v>
      </c>
      <c r="F21" s="5">
        <v>1.73</v>
      </c>
      <c r="H21" s="5">
        <v>3.19</v>
      </c>
      <c r="I21" s="5">
        <v>12.41</v>
      </c>
      <c r="J21" s="5">
        <v>5.77</v>
      </c>
      <c r="K21" s="5">
        <v>13.46</v>
      </c>
      <c r="L21" s="5">
        <v>7.37</v>
      </c>
      <c r="M21" s="5">
        <v>11.25</v>
      </c>
      <c r="N21" s="5">
        <v>4.07</v>
      </c>
      <c r="O21" s="5">
        <v>5.03</v>
      </c>
      <c r="P21" s="5">
        <v>13.51</v>
      </c>
      <c r="Q21" s="5">
        <v>13.95</v>
      </c>
      <c r="R21" s="5">
        <v>6.84</v>
      </c>
      <c r="S21" s="5">
        <v>1.1499999999999999</v>
      </c>
      <c r="T21" s="5">
        <v>4.04</v>
      </c>
      <c r="U21" s="5">
        <v>18.87</v>
      </c>
      <c r="V21" s="5">
        <v>9.51</v>
      </c>
      <c r="X21" s="5">
        <v>11.25</v>
      </c>
      <c r="Y21" s="5">
        <v>23.44</v>
      </c>
      <c r="Z21" s="5">
        <v>4.6900000000000004</v>
      </c>
      <c r="AA21" s="5">
        <v>4.92</v>
      </c>
      <c r="AB21" s="5">
        <v>3.35</v>
      </c>
      <c r="AD21" s="5">
        <v>1.18</v>
      </c>
      <c r="AE21" s="5">
        <v>8.07</v>
      </c>
      <c r="AF21">
        <f t="shared" si="2"/>
        <v>23.44</v>
      </c>
      <c r="AG21" t="str">
        <f t="shared" si="3"/>
        <v>PL</v>
      </c>
      <c r="AH21" t="s">
        <v>75</v>
      </c>
    </row>
    <row r="22" spans="1:34" x14ac:dyDescent="0.2">
      <c r="A22" t="s">
        <v>78</v>
      </c>
      <c r="B22" t="s">
        <v>74</v>
      </c>
      <c r="C22" t="s">
        <v>79</v>
      </c>
      <c r="D22" s="5">
        <v>21.54</v>
      </c>
      <c r="E22" s="5">
        <v>16.89</v>
      </c>
      <c r="F22" s="5">
        <v>7.2</v>
      </c>
      <c r="G22" s="5">
        <v>2.33</v>
      </c>
      <c r="H22" s="5">
        <v>15.58</v>
      </c>
      <c r="I22" s="5">
        <v>45.76</v>
      </c>
      <c r="J22" s="5">
        <v>32.9</v>
      </c>
      <c r="K22" s="5">
        <v>32.21</v>
      </c>
      <c r="L22" s="5">
        <v>7.37</v>
      </c>
      <c r="M22" s="5">
        <v>6.95</v>
      </c>
      <c r="N22" s="5">
        <v>27.39</v>
      </c>
      <c r="O22" s="5">
        <v>10.24</v>
      </c>
      <c r="P22" s="5">
        <v>2.7</v>
      </c>
      <c r="Q22" s="5">
        <v>26.86</v>
      </c>
      <c r="R22" s="5">
        <v>8.5299999999999994</v>
      </c>
      <c r="S22" s="5">
        <v>13.19</v>
      </c>
      <c r="T22" s="5">
        <v>8.75</v>
      </c>
      <c r="U22" s="5">
        <v>28.3</v>
      </c>
      <c r="V22" s="5">
        <v>29.56</v>
      </c>
      <c r="X22" s="5">
        <v>33.130000000000003</v>
      </c>
      <c r="Y22" s="5">
        <v>26.26</v>
      </c>
      <c r="Z22" s="5">
        <v>5.43</v>
      </c>
      <c r="AA22" s="5">
        <v>9.9</v>
      </c>
      <c r="AB22" s="5">
        <v>23.2</v>
      </c>
      <c r="AD22" s="5">
        <v>4.3099999999999996</v>
      </c>
      <c r="AE22" s="5">
        <v>16.739999999999998</v>
      </c>
      <c r="AF22">
        <f t="shared" si="2"/>
        <v>45.76</v>
      </c>
      <c r="AG22" t="str">
        <f t="shared" si="3"/>
        <v>DE</v>
      </c>
      <c r="AH22" t="s">
        <v>75</v>
      </c>
    </row>
    <row r="23" spans="1:34" x14ac:dyDescent="0.2">
      <c r="A23" t="s">
        <v>80</v>
      </c>
      <c r="B23" t="s">
        <v>74</v>
      </c>
      <c r="C23" t="s">
        <v>81</v>
      </c>
      <c r="D23" s="5">
        <v>7.72</v>
      </c>
      <c r="E23" s="5">
        <v>17.55</v>
      </c>
      <c r="F23" s="5">
        <v>2.13</v>
      </c>
      <c r="H23" s="5">
        <v>8.32</v>
      </c>
      <c r="I23" s="5">
        <v>50.76</v>
      </c>
      <c r="J23" s="5">
        <v>14.57</v>
      </c>
      <c r="K23" s="5">
        <v>16.350000000000001</v>
      </c>
      <c r="L23" s="5">
        <v>6.32</v>
      </c>
      <c r="M23" s="5">
        <v>6.57</v>
      </c>
      <c r="N23" s="5">
        <v>20.97</v>
      </c>
      <c r="O23" s="5">
        <v>23.92</v>
      </c>
      <c r="P23" s="5">
        <v>8.7799999999999994</v>
      </c>
      <c r="Q23" s="5">
        <v>23.57</v>
      </c>
      <c r="R23" s="5">
        <v>5.27</v>
      </c>
      <c r="S23" s="5">
        <v>9.82</v>
      </c>
      <c r="T23" s="5">
        <v>7.74</v>
      </c>
      <c r="U23" s="5">
        <v>7.55</v>
      </c>
      <c r="V23" s="5">
        <v>8.48</v>
      </c>
      <c r="X23" s="5">
        <v>11.55</v>
      </c>
      <c r="Y23" s="5">
        <v>16.32</v>
      </c>
      <c r="Z23" s="5">
        <v>11.58</v>
      </c>
      <c r="AA23" s="5">
        <v>5.1100000000000003</v>
      </c>
      <c r="AB23" s="5">
        <v>6.08</v>
      </c>
      <c r="AC23" s="5">
        <v>11.76</v>
      </c>
      <c r="AD23" s="5">
        <v>2.35</v>
      </c>
      <c r="AE23" s="5">
        <v>18.73</v>
      </c>
      <c r="AF23">
        <f t="shared" si="2"/>
        <v>50.76</v>
      </c>
      <c r="AG23" t="str">
        <f t="shared" si="3"/>
        <v>DE</v>
      </c>
      <c r="AH23" t="s">
        <v>75</v>
      </c>
    </row>
    <row r="24" spans="1:34" x14ac:dyDescent="0.2">
      <c r="A24" t="s">
        <v>82</v>
      </c>
      <c r="B24" t="s">
        <v>74</v>
      </c>
      <c r="C24" t="s">
        <v>83</v>
      </c>
      <c r="D24" s="5">
        <v>28.05</v>
      </c>
      <c r="E24" s="5">
        <v>62.58</v>
      </c>
      <c r="F24" s="5">
        <v>6.27</v>
      </c>
      <c r="H24" s="5">
        <v>5.84</v>
      </c>
      <c r="I24" s="5">
        <v>66.27</v>
      </c>
      <c r="J24" s="5">
        <v>60.89</v>
      </c>
      <c r="K24" s="5">
        <v>73.08</v>
      </c>
      <c r="L24" s="5">
        <v>11.58</v>
      </c>
      <c r="M24" s="5">
        <v>18.75</v>
      </c>
      <c r="N24" s="5">
        <v>73.08</v>
      </c>
      <c r="O24" s="5">
        <v>68.42</v>
      </c>
      <c r="P24" s="5">
        <v>45.27</v>
      </c>
      <c r="Q24" s="5">
        <v>26.08</v>
      </c>
      <c r="R24" s="5">
        <v>59.7</v>
      </c>
      <c r="S24" s="5">
        <v>19.73</v>
      </c>
      <c r="T24" s="5">
        <v>17</v>
      </c>
      <c r="U24" s="5">
        <v>86.79</v>
      </c>
      <c r="V24" s="5">
        <v>28.53</v>
      </c>
      <c r="X24" s="5">
        <v>7.29</v>
      </c>
      <c r="Y24" s="5">
        <v>46.34</v>
      </c>
      <c r="Z24" s="5">
        <v>42.38</v>
      </c>
      <c r="AA24" s="5">
        <v>6.39</v>
      </c>
      <c r="AB24" s="5">
        <v>44.79</v>
      </c>
      <c r="AC24" s="5">
        <v>58.82</v>
      </c>
      <c r="AD24" s="5">
        <v>3.14</v>
      </c>
      <c r="AE24" s="5">
        <v>45.73</v>
      </c>
      <c r="AF24">
        <f t="shared" si="2"/>
        <v>86.79</v>
      </c>
      <c r="AG24" t="str">
        <f t="shared" si="3"/>
        <v>LU</v>
      </c>
      <c r="AH24" t="s">
        <v>75</v>
      </c>
    </row>
    <row r="25" spans="1:34" x14ac:dyDescent="0.2">
      <c r="A25" t="s">
        <v>84</v>
      </c>
      <c r="B25" t="s">
        <v>85</v>
      </c>
      <c r="C25" t="s">
        <v>86</v>
      </c>
      <c r="D25" s="5">
        <v>75.31</v>
      </c>
      <c r="E25" s="5">
        <v>38.979999999999997</v>
      </c>
      <c r="F25" s="5">
        <v>15.45</v>
      </c>
      <c r="G25" s="5">
        <v>31.82</v>
      </c>
      <c r="H25" s="5">
        <v>20.77</v>
      </c>
      <c r="I25" s="5">
        <v>54.89</v>
      </c>
      <c r="J25" s="5">
        <v>59.05</v>
      </c>
      <c r="K25" s="5">
        <v>37.97</v>
      </c>
      <c r="L25" s="5">
        <v>14.83</v>
      </c>
      <c r="M25" s="5">
        <v>43.56</v>
      </c>
      <c r="N25" s="5">
        <v>48.42</v>
      </c>
      <c r="O25" s="5">
        <v>26.16</v>
      </c>
      <c r="P25" s="5">
        <v>38.24</v>
      </c>
      <c r="Q25" s="5">
        <v>41.18</v>
      </c>
      <c r="S25" s="5">
        <v>46.23</v>
      </c>
      <c r="T25" s="5">
        <v>14.1</v>
      </c>
      <c r="U25" s="5">
        <v>38.020000000000003</v>
      </c>
      <c r="V25" s="5">
        <v>12.28</v>
      </c>
      <c r="X25" s="5">
        <v>43.29</v>
      </c>
      <c r="Y25" s="5">
        <v>59.94</v>
      </c>
      <c r="Z25" s="5">
        <v>35.31</v>
      </c>
      <c r="AA25" s="5">
        <v>27.62</v>
      </c>
      <c r="AB25" s="5">
        <v>60.96</v>
      </c>
      <c r="AC25" s="5">
        <v>50.51</v>
      </c>
      <c r="AD25" s="5">
        <v>10.71</v>
      </c>
      <c r="AE25" s="5">
        <v>37.24</v>
      </c>
      <c r="AF25">
        <f t="shared" si="2"/>
        <v>75.31</v>
      </c>
      <c r="AG25" t="str">
        <f t="shared" si="3"/>
        <v>AT</v>
      </c>
      <c r="AH25" t="s">
        <v>87</v>
      </c>
    </row>
    <row r="26" spans="1:34" x14ac:dyDescent="0.2">
      <c r="A26" t="s">
        <v>88</v>
      </c>
      <c r="B26" t="s">
        <v>85</v>
      </c>
      <c r="C26" t="s">
        <v>89</v>
      </c>
      <c r="D26" s="5">
        <v>11.28</v>
      </c>
      <c r="E26" s="5">
        <v>9.3800000000000008</v>
      </c>
      <c r="F26" s="5">
        <v>0.81</v>
      </c>
      <c r="G26" s="5">
        <v>10.23</v>
      </c>
      <c r="H26" s="5">
        <v>8.6999999999999993</v>
      </c>
      <c r="I26" s="5">
        <v>16.88</v>
      </c>
      <c r="J26" s="5">
        <v>15.71</v>
      </c>
      <c r="K26" s="5">
        <v>17.72</v>
      </c>
      <c r="L26" s="5">
        <v>3.23</v>
      </c>
      <c r="M26" s="5">
        <v>15.5</v>
      </c>
      <c r="N26" s="5">
        <v>32.840000000000003</v>
      </c>
      <c r="O26" s="5">
        <v>11.39</v>
      </c>
      <c r="P26" s="5">
        <v>6.62</v>
      </c>
      <c r="Q26" s="5">
        <v>4.41</v>
      </c>
      <c r="S26" s="5">
        <v>41.36</v>
      </c>
      <c r="T26" s="5">
        <v>7.69</v>
      </c>
      <c r="U26" s="5">
        <v>32.229999999999997</v>
      </c>
      <c r="V26" s="5">
        <v>19.3</v>
      </c>
      <c r="X26" s="5">
        <v>24.54</v>
      </c>
      <c r="Y26" s="5">
        <v>4.25</v>
      </c>
      <c r="Z26" s="5">
        <v>3.33</v>
      </c>
      <c r="AA26" s="5">
        <v>40.950000000000003</v>
      </c>
      <c r="AB26" s="5">
        <v>30.21</v>
      </c>
      <c r="AD26" s="5">
        <v>1.19</v>
      </c>
      <c r="AE26" s="5">
        <v>14.6</v>
      </c>
      <c r="AF26">
        <f t="shared" si="2"/>
        <v>41.36</v>
      </c>
      <c r="AG26" t="str">
        <f t="shared" si="3"/>
        <v>IT</v>
      </c>
      <c r="AH26" t="s">
        <v>87</v>
      </c>
    </row>
    <row r="27" spans="1:34" x14ac:dyDescent="0.2">
      <c r="A27" t="s">
        <v>90</v>
      </c>
      <c r="B27" t="s">
        <v>85</v>
      </c>
      <c r="C27" t="s">
        <v>91</v>
      </c>
      <c r="D27" s="5">
        <v>75.31</v>
      </c>
      <c r="E27" s="5">
        <v>42.6</v>
      </c>
      <c r="F27" s="5">
        <v>39.020000000000003</v>
      </c>
      <c r="G27" s="5">
        <v>34.090000000000003</v>
      </c>
      <c r="H27" s="5">
        <v>35.75</v>
      </c>
      <c r="I27" s="5">
        <v>40.54</v>
      </c>
      <c r="J27" s="5">
        <v>70</v>
      </c>
      <c r="K27" s="5">
        <v>65.819999999999993</v>
      </c>
      <c r="L27" s="5">
        <v>12.17</v>
      </c>
      <c r="M27" s="5">
        <v>53.81</v>
      </c>
      <c r="N27" s="5">
        <v>51.79</v>
      </c>
      <c r="O27" s="5">
        <v>70.680000000000007</v>
      </c>
      <c r="P27" s="5">
        <v>39.71</v>
      </c>
      <c r="Q27" s="5">
        <v>50.49</v>
      </c>
      <c r="S27" s="5">
        <v>63.17</v>
      </c>
      <c r="T27" s="5">
        <v>32.049999999999997</v>
      </c>
      <c r="U27" s="5">
        <v>61.16</v>
      </c>
      <c r="V27" s="5">
        <v>33.33</v>
      </c>
      <c r="X27" s="5">
        <v>54.26</v>
      </c>
      <c r="Y27" s="5">
        <v>46.88</v>
      </c>
      <c r="Z27" s="5">
        <v>28.4</v>
      </c>
      <c r="AA27" s="5">
        <v>18.57</v>
      </c>
      <c r="AB27" s="5">
        <v>53.74</v>
      </c>
      <c r="AC27" s="5">
        <v>50.51</v>
      </c>
      <c r="AD27" s="5">
        <v>10.71</v>
      </c>
      <c r="AE27" s="5">
        <v>49.07</v>
      </c>
      <c r="AF27">
        <f t="shared" si="2"/>
        <v>75.31</v>
      </c>
      <c r="AG27" t="str">
        <f t="shared" si="3"/>
        <v>AT</v>
      </c>
      <c r="AH27" t="s">
        <v>87</v>
      </c>
    </row>
    <row r="28" spans="1:34" x14ac:dyDescent="0.2">
      <c r="A28" t="s">
        <v>92</v>
      </c>
      <c r="B28" t="s">
        <v>85</v>
      </c>
      <c r="C28" t="s">
        <v>93</v>
      </c>
      <c r="D28" s="5">
        <v>75.08</v>
      </c>
      <c r="E28" s="5">
        <v>39.549999999999997</v>
      </c>
      <c r="F28" s="5">
        <v>19.510000000000002</v>
      </c>
      <c r="G28" s="5">
        <v>22.73</v>
      </c>
      <c r="H28" s="5">
        <v>28.99</v>
      </c>
      <c r="I28" s="5">
        <v>51.02</v>
      </c>
      <c r="J28" s="5">
        <v>58.1</v>
      </c>
      <c r="K28" s="5">
        <v>37.97</v>
      </c>
      <c r="L28" s="5">
        <v>12.93</v>
      </c>
      <c r="M28" s="5">
        <v>33.79</v>
      </c>
      <c r="N28" s="5">
        <v>60.63</v>
      </c>
      <c r="O28" s="5">
        <v>36.520000000000003</v>
      </c>
      <c r="P28" s="5">
        <v>29.41</v>
      </c>
      <c r="Q28" s="5">
        <v>34.799999999999997</v>
      </c>
      <c r="S28" s="5">
        <v>55.57</v>
      </c>
      <c r="T28" s="5">
        <v>12.82</v>
      </c>
      <c r="U28" s="5">
        <v>33.06</v>
      </c>
      <c r="V28" s="5">
        <v>15.79</v>
      </c>
      <c r="X28" s="5">
        <v>47.17</v>
      </c>
      <c r="Y28" s="5">
        <v>54.25</v>
      </c>
      <c r="Z28" s="5">
        <v>32.840000000000003</v>
      </c>
      <c r="AA28" s="5">
        <v>14.76</v>
      </c>
      <c r="AB28" s="5">
        <v>59.09</v>
      </c>
      <c r="AC28" s="5">
        <v>50.51</v>
      </c>
      <c r="AD28" s="5">
        <v>8.33</v>
      </c>
      <c r="AE28" s="5">
        <v>38.520000000000003</v>
      </c>
      <c r="AF28">
        <f t="shared" si="2"/>
        <v>75.08</v>
      </c>
      <c r="AG28" t="str">
        <f t="shared" si="3"/>
        <v>AT</v>
      </c>
      <c r="AH28" t="s">
        <v>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
  <sheetViews>
    <sheetView workbookViewId="0">
      <selection activeCell="G3" sqref="G3"/>
    </sheetView>
  </sheetViews>
  <sheetFormatPr baseColWidth="10" defaultColWidth="8.83203125" defaultRowHeight="15" x14ac:dyDescent="0.2"/>
  <sheetData>
    <row r="1" spans="1:9" ht="17" x14ac:dyDescent="0.2">
      <c r="A1" s="1" t="s">
        <v>95</v>
      </c>
    </row>
    <row r="3" spans="1:9" x14ac:dyDescent="0.2">
      <c r="A3" s="3" t="s">
        <v>35</v>
      </c>
      <c r="B3" s="3" t="s">
        <v>96</v>
      </c>
      <c r="C3" s="3" t="s">
        <v>97</v>
      </c>
      <c r="D3" s="3" t="s">
        <v>98</v>
      </c>
      <c r="E3" s="3" t="s">
        <v>99</v>
      </c>
      <c r="F3" s="3" t="s">
        <v>100</v>
      </c>
      <c r="G3" s="3" t="s">
        <v>101</v>
      </c>
      <c r="H3" s="3" t="s">
        <v>102</v>
      </c>
      <c r="I3" s="3" t="s">
        <v>103</v>
      </c>
    </row>
    <row r="4" spans="1:9" x14ac:dyDescent="0.2">
      <c r="A4" t="s">
        <v>69</v>
      </c>
      <c r="B4" s="5">
        <v>1193</v>
      </c>
      <c r="C4" s="5">
        <v>30201</v>
      </c>
      <c r="D4">
        <f t="shared" ref="D4:D13" si="0">100*B4/C4</f>
        <v>3.9502003244925663</v>
      </c>
      <c r="E4" t="s">
        <v>104</v>
      </c>
      <c r="F4" t="s">
        <v>105</v>
      </c>
      <c r="H4">
        <f t="shared" ref="H4:H13" si="1">IF(G4="",D4,100*B4/G4)</f>
        <v>3.9502003244925663</v>
      </c>
    </row>
    <row r="5" spans="1:9" x14ac:dyDescent="0.2">
      <c r="A5" t="s">
        <v>73</v>
      </c>
      <c r="B5" s="5">
        <v>911</v>
      </c>
      <c r="C5" s="5">
        <v>30201</v>
      </c>
      <c r="D5">
        <f t="shared" si="0"/>
        <v>3.016456408728188</v>
      </c>
      <c r="E5" t="s">
        <v>104</v>
      </c>
      <c r="F5" t="s">
        <v>105</v>
      </c>
      <c r="H5">
        <f t="shared" si="1"/>
        <v>3.016456408728188</v>
      </c>
    </row>
    <row r="6" spans="1:9" x14ac:dyDescent="0.2">
      <c r="A6" t="s">
        <v>76</v>
      </c>
      <c r="B6" s="5">
        <v>420</v>
      </c>
      <c r="C6" s="5">
        <v>30201</v>
      </c>
      <c r="D6">
        <f t="shared" si="0"/>
        <v>1.3906824277341809</v>
      </c>
      <c r="E6" t="s">
        <v>104</v>
      </c>
      <c r="F6" t="s">
        <v>105</v>
      </c>
      <c r="H6">
        <f t="shared" si="1"/>
        <v>1.3906824277341809</v>
      </c>
    </row>
    <row r="7" spans="1:9" x14ac:dyDescent="0.2">
      <c r="A7" t="s">
        <v>78</v>
      </c>
      <c r="B7" s="5">
        <v>391</v>
      </c>
      <c r="C7" s="5">
        <v>30201</v>
      </c>
      <c r="D7">
        <f t="shared" si="0"/>
        <v>1.2946591172477733</v>
      </c>
      <c r="E7" t="s">
        <v>104</v>
      </c>
      <c r="F7" t="s">
        <v>105</v>
      </c>
      <c r="H7">
        <f t="shared" si="1"/>
        <v>1.2946591172477733</v>
      </c>
    </row>
    <row r="8" spans="1:9" x14ac:dyDescent="0.2">
      <c r="A8" t="s">
        <v>80</v>
      </c>
      <c r="B8" s="5">
        <v>888</v>
      </c>
      <c r="C8" s="5">
        <v>30201</v>
      </c>
      <c r="D8">
        <f t="shared" si="0"/>
        <v>2.9402999900665541</v>
      </c>
      <c r="E8" t="s">
        <v>104</v>
      </c>
      <c r="F8" t="s">
        <v>105</v>
      </c>
      <c r="H8">
        <f t="shared" si="1"/>
        <v>2.9402999900665541</v>
      </c>
    </row>
    <row r="9" spans="1:9" x14ac:dyDescent="0.2">
      <c r="A9" t="s">
        <v>82</v>
      </c>
      <c r="B9" s="5">
        <v>349</v>
      </c>
      <c r="C9" s="5">
        <v>30201</v>
      </c>
      <c r="D9">
        <f t="shared" si="0"/>
        <v>1.155590874474355</v>
      </c>
      <c r="E9" t="s">
        <v>104</v>
      </c>
      <c r="F9" t="s">
        <v>105</v>
      </c>
      <c r="H9">
        <f t="shared" si="1"/>
        <v>1.155590874474355</v>
      </c>
    </row>
    <row r="10" spans="1:9" x14ac:dyDescent="0.2">
      <c r="A10" t="s">
        <v>84</v>
      </c>
      <c r="B10" s="5">
        <v>367</v>
      </c>
      <c r="C10" s="5">
        <v>30201</v>
      </c>
      <c r="D10">
        <f t="shared" si="0"/>
        <v>1.2151915499486772</v>
      </c>
      <c r="E10" t="s">
        <v>104</v>
      </c>
      <c r="F10" t="s">
        <v>105</v>
      </c>
      <c r="G10" s="5">
        <v>2070</v>
      </c>
      <c r="H10">
        <f t="shared" si="1"/>
        <v>17.729468599033815</v>
      </c>
      <c r="I10" t="s">
        <v>106</v>
      </c>
    </row>
    <row r="11" spans="1:9" x14ac:dyDescent="0.2">
      <c r="A11" t="s">
        <v>88</v>
      </c>
      <c r="B11" s="5">
        <v>74</v>
      </c>
      <c r="C11" s="5">
        <v>30201</v>
      </c>
      <c r="D11">
        <f t="shared" si="0"/>
        <v>0.24502499917221285</v>
      </c>
      <c r="E11" t="s">
        <v>104</v>
      </c>
      <c r="F11" t="s">
        <v>105</v>
      </c>
      <c r="G11" s="5">
        <v>2070</v>
      </c>
      <c r="H11">
        <f t="shared" si="1"/>
        <v>3.57487922705314</v>
      </c>
      <c r="I11" t="s">
        <v>106</v>
      </c>
    </row>
    <row r="12" spans="1:9" x14ac:dyDescent="0.2">
      <c r="A12" t="s">
        <v>90</v>
      </c>
      <c r="B12" s="5">
        <v>198</v>
      </c>
      <c r="C12" s="5">
        <v>30201</v>
      </c>
      <c r="D12">
        <f t="shared" si="0"/>
        <v>0.65560743021754242</v>
      </c>
      <c r="E12" t="s">
        <v>104</v>
      </c>
      <c r="F12" t="s">
        <v>105</v>
      </c>
      <c r="G12" s="5">
        <v>2070</v>
      </c>
      <c r="H12">
        <f t="shared" si="1"/>
        <v>9.5652173913043477</v>
      </c>
      <c r="I12" t="s">
        <v>106</v>
      </c>
    </row>
    <row r="13" spans="1:9" x14ac:dyDescent="0.2">
      <c r="A13" t="s">
        <v>92</v>
      </c>
      <c r="B13" s="5">
        <v>354</v>
      </c>
      <c r="C13" s="5">
        <v>30201</v>
      </c>
      <c r="D13">
        <f t="shared" si="0"/>
        <v>1.1721466176616668</v>
      </c>
      <c r="E13" t="s">
        <v>104</v>
      </c>
      <c r="F13" t="s">
        <v>105</v>
      </c>
      <c r="G13" s="5">
        <v>2070</v>
      </c>
      <c r="H13">
        <f t="shared" si="1"/>
        <v>17.10144927536232</v>
      </c>
      <c r="I13" t="s">
        <v>106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9"/>
  <sheetViews>
    <sheetView workbookViewId="0"/>
  </sheetViews>
  <sheetFormatPr baseColWidth="10" defaultColWidth="8.83203125" defaultRowHeight="15" x14ac:dyDescent="0.2"/>
  <sheetData>
    <row r="1" spans="1:16" ht="17" x14ac:dyDescent="0.2">
      <c r="A1" s="1" t="s">
        <v>107</v>
      </c>
    </row>
    <row r="3" spans="1:16" x14ac:dyDescent="0.2">
      <c r="A3" s="3" t="s">
        <v>35</v>
      </c>
      <c r="B3" s="3" t="s">
        <v>108</v>
      </c>
      <c r="C3" s="3" t="s">
        <v>109</v>
      </c>
      <c r="D3" s="3" t="s">
        <v>110</v>
      </c>
      <c r="E3" s="3" t="s">
        <v>111</v>
      </c>
      <c r="F3" s="3" t="s">
        <v>112</v>
      </c>
      <c r="G3" s="3" t="s">
        <v>113</v>
      </c>
      <c r="H3" s="3" t="s">
        <v>114</v>
      </c>
      <c r="I3" s="3" t="s">
        <v>115</v>
      </c>
      <c r="J3" s="3" t="s">
        <v>116</v>
      </c>
      <c r="K3" s="3" t="s">
        <v>117</v>
      </c>
      <c r="L3" s="3" t="s">
        <v>118</v>
      </c>
      <c r="M3" s="3" t="s">
        <v>119</v>
      </c>
      <c r="N3" s="3" t="s">
        <v>120</v>
      </c>
      <c r="O3" s="3" t="s">
        <v>121</v>
      </c>
      <c r="P3" s="3" t="s">
        <v>122</v>
      </c>
    </row>
    <row r="4" spans="1:16" x14ac:dyDescent="0.2">
      <c r="A4" t="s">
        <v>69</v>
      </c>
      <c r="B4">
        <f>Farm_UA_data!$D$4</f>
        <v>3.9502003244925663</v>
      </c>
      <c r="C4">
        <f>Farm_EU_data!$AE$5</f>
        <v>6.79</v>
      </c>
      <c r="D4">
        <f>Farm_EU_data!$AE$19</f>
        <v>31.3</v>
      </c>
      <c r="E4">
        <f>Farm_EU_data!$I$5</f>
        <v>18.260000000000002</v>
      </c>
      <c r="F4">
        <f>Farm_EU_data!$Y$5</f>
        <v>1.34</v>
      </c>
      <c r="G4">
        <f>Farm_EU_data!$Q$5</f>
        <v>2.62</v>
      </c>
      <c r="H4">
        <f>Farm_EU_data!$AA$5</f>
        <v>3.26</v>
      </c>
      <c r="I4">
        <f>Farm_EU_data!$H$5</f>
        <v>3.41</v>
      </c>
      <c r="J4">
        <f>Farm_EU_data!$AD$5</f>
        <v>1.31</v>
      </c>
      <c r="K4">
        <f>Farm_EU_data!$T$5</f>
        <v>0.46</v>
      </c>
      <c r="L4">
        <f>Farm_EU_data!$V$5</f>
        <v>4.68</v>
      </c>
      <c r="M4">
        <f>Farm_EU_data!$K$5</f>
        <v>8.0299999999999994</v>
      </c>
      <c r="N4">
        <f>Farm_EU_data!$F$5</f>
        <v>0.56000000000000005</v>
      </c>
      <c r="O4">
        <f t="shared" ref="O4:O13" si="0">B4/C4</f>
        <v>0.58176735264986246</v>
      </c>
      <c r="P4">
        <f>Farm_UA_data!$H$4/D4</f>
        <v>0.12620448321062511</v>
      </c>
    </row>
    <row r="5" spans="1:16" x14ac:dyDescent="0.2">
      <c r="A5" t="s">
        <v>73</v>
      </c>
      <c r="B5">
        <f>Farm_UA_data!$D$5</f>
        <v>3.016456408728188</v>
      </c>
      <c r="C5">
        <f>Farm_EU_data!$AE$6</f>
        <v>1.76</v>
      </c>
      <c r="D5">
        <f>Farm_EU_data!$AE$20</f>
        <v>16.55</v>
      </c>
      <c r="E5">
        <f>Farm_EU_data!$I$6</f>
        <v>3.27</v>
      </c>
      <c r="F5">
        <f>Farm_EU_data!$Y$6</f>
        <v>0.22</v>
      </c>
      <c r="G5">
        <f>Farm_EU_data!$Q$6</f>
        <v>1.01</v>
      </c>
      <c r="H5">
        <f>Farm_EU_data!$AA$6</f>
        <v>0.14000000000000001</v>
      </c>
      <c r="I5">
        <f>Farm_EU_data!$H$6</f>
        <v>0.86</v>
      </c>
      <c r="J5">
        <f>Farm_EU_data!$AD$6</f>
        <v>0.59</v>
      </c>
      <c r="K5">
        <f>Farm_EU_data!$T$6</f>
        <v>0.05</v>
      </c>
      <c r="L5">
        <f>Farm_EU_data!$V$6</f>
        <v>2.72</v>
      </c>
      <c r="M5">
        <f>Farm_EU_data!$K$6</f>
        <v>5.04</v>
      </c>
      <c r="N5">
        <f>Farm_EU_data!$F$6</f>
        <v>0.26</v>
      </c>
      <c r="O5">
        <f t="shared" si="0"/>
        <v>1.7138956867773796</v>
      </c>
      <c r="P5">
        <f>Farm_UA_data!$H$5/D5</f>
        <v>0.18226322711348567</v>
      </c>
    </row>
    <row r="6" spans="1:16" x14ac:dyDescent="0.2">
      <c r="A6" t="s">
        <v>76</v>
      </c>
      <c r="B6">
        <f>Farm_UA_data!$D$6</f>
        <v>1.3906824277341809</v>
      </c>
      <c r="C6">
        <f>Farm_EU_data!$AE$7</f>
        <v>4.21</v>
      </c>
      <c r="D6">
        <f>Farm_EU_data!$AE$21</f>
        <v>8.07</v>
      </c>
      <c r="E6">
        <f>Farm_EU_data!$I$7</f>
        <v>7.7</v>
      </c>
      <c r="F6">
        <f>Farm_EU_data!$Y$7</f>
        <v>12.66</v>
      </c>
      <c r="G6">
        <f>Farm_EU_data!$Q$7</f>
        <v>3.34</v>
      </c>
      <c r="H6">
        <f>Farm_EU_data!$AA$7</f>
        <v>0.45</v>
      </c>
      <c r="I6">
        <f>Farm_EU_data!$H$7</f>
        <v>0.76</v>
      </c>
      <c r="J6">
        <f>Farm_EU_data!$AD$7</f>
        <v>0.18</v>
      </c>
      <c r="K6">
        <f>Farm_EU_data!$T$7</f>
        <v>0.43</v>
      </c>
      <c r="L6">
        <f>Farm_EU_data!$V$7</f>
        <v>1.39</v>
      </c>
      <c r="M6">
        <f>Farm_EU_data!$K$7</f>
        <v>4.75</v>
      </c>
      <c r="N6">
        <f>Farm_EU_data!$F$7</f>
        <v>0.28999999999999998</v>
      </c>
      <c r="O6">
        <f t="shared" si="0"/>
        <v>0.33032836763282208</v>
      </c>
      <c r="P6">
        <f>Farm_UA_data!$H$6/D6</f>
        <v>0.17232743838093939</v>
      </c>
    </row>
    <row r="7" spans="1:16" x14ac:dyDescent="0.2">
      <c r="A7" t="s">
        <v>78</v>
      </c>
      <c r="B7">
        <f>Farm_UA_data!$D$7</f>
        <v>1.2946591172477733</v>
      </c>
      <c r="C7">
        <f>Farm_EU_data!$AE$8</f>
        <v>5.32</v>
      </c>
      <c r="D7">
        <f>Farm_EU_data!$AE$22</f>
        <v>16.739999999999998</v>
      </c>
      <c r="E7">
        <f>Farm_EU_data!$I$8</f>
        <v>18.59</v>
      </c>
      <c r="F7">
        <f>Farm_EU_data!$Y$8</f>
        <v>13.69</v>
      </c>
      <c r="G7">
        <f>Farm_EU_data!$Q$8</f>
        <v>5.8</v>
      </c>
      <c r="H7">
        <f>Farm_EU_data!$AA$8</f>
        <v>0.78</v>
      </c>
      <c r="I7">
        <f>Farm_EU_data!$H$8</f>
        <v>3.36</v>
      </c>
      <c r="J7">
        <f>Farm_EU_data!$AD$8</f>
        <v>0.71</v>
      </c>
      <c r="K7">
        <f>Farm_EU_data!$T$8</f>
        <v>0.87</v>
      </c>
      <c r="L7">
        <f>Farm_EU_data!$V$8</f>
        <v>4.08</v>
      </c>
      <c r="M7">
        <f>Farm_EU_data!$K$8</f>
        <v>9.6</v>
      </c>
      <c r="N7">
        <f>Farm_EU_data!$F$8</f>
        <v>0.9</v>
      </c>
      <c r="O7">
        <f t="shared" si="0"/>
        <v>0.24335697692627317</v>
      </c>
      <c r="P7">
        <f>Farm_UA_data!$H$7/D7</f>
        <v>7.7339254315876543E-2</v>
      </c>
    </row>
    <row r="8" spans="1:16" x14ac:dyDescent="0.2">
      <c r="A8" t="s">
        <v>80</v>
      </c>
      <c r="B8">
        <f>Farm_UA_data!$D$8</f>
        <v>2.9402999900665541</v>
      </c>
      <c r="C8">
        <f>Farm_EU_data!$AE$9</f>
        <v>3.23</v>
      </c>
      <c r="D8">
        <f>Farm_EU_data!$AE$23</f>
        <v>18.73</v>
      </c>
      <c r="E8">
        <f>Farm_EU_data!$I$9</f>
        <v>20.96</v>
      </c>
      <c r="F8">
        <f>Farm_EU_data!$Y$9</f>
        <v>2.82</v>
      </c>
      <c r="G8">
        <f>Farm_EU_data!$Q$9</f>
        <v>5.32</v>
      </c>
      <c r="H8">
        <f>Farm_EU_data!$AA$9</f>
        <v>0.37</v>
      </c>
      <c r="I8">
        <f>Farm_EU_data!$H$9</f>
        <v>1.77</v>
      </c>
      <c r="J8">
        <f>Farm_EU_data!$AD$9</f>
        <v>0.41</v>
      </c>
      <c r="K8">
        <f>Farm_EU_data!$T$9</f>
        <v>0.82</v>
      </c>
      <c r="L8">
        <f>Farm_EU_data!$V$9</f>
        <v>1.0900000000000001</v>
      </c>
      <c r="M8">
        <f>Farm_EU_data!$K$9</f>
        <v>4.66</v>
      </c>
      <c r="N8">
        <f>Farm_EU_data!$F$9</f>
        <v>0.43</v>
      </c>
      <c r="O8">
        <f t="shared" si="0"/>
        <v>0.91030959444784953</v>
      </c>
      <c r="P8">
        <f>Farm_UA_data!$H$8/D8</f>
        <v>0.15698344848193027</v>
      </c>
    </row>
    <row r="9" spans="1:16" x14ac:dyDescent="0.2">
      <c r="A9" t="s">
        <v>82</v>
      </c>
      <c r="B9">
        <f>Farm_UA_data!$D$9</f>
        <v>1.155590874474355</v>
      </c>
      <c r="C9">
        <f>Farm_EU_data!$AE$10</f>
        <v>11.35</v>
      </c>
      <c r="D9">
        <f>Farm_EU_data!$AE$24</f>
        <v>45.73</v>
      </c>
      <c r="E9">
        <f>Farm_EU_data!$I$10</f>
        <v>37.79</v>
      </c>
      <c r="F9">
        <f>Farm_EU_data!$Y$10</f>
        <v>12.31</v>
      </c>
      <c r="G9">
        <f>Farm_EU_data!$Q$10</f>
        <v>5.59</v>
      </c>
      <c r="H9">
        <f>Farm_EU_data!$AA$10</f>
        <v>0.3</v>
      </c>
      <c r="I9">
        <f>Farm_EU_data!$H$10</f>
        <v>1.34</v>
      </c>
      <c r="J9">
        <f>Farm_EU_data!$AD$10</f>
        <v>0.65</v>
      </c>
      <c r="K9">
        <f>Farm_EU_data!$T$10</f>
        <v>2.37</v>
      </c>
      <c r="L9">
        <f>Farm_EU_data!$V$10</f>
        <v>5.47</v>
      </c>
      <c r="M9">
        <f>Farm_EU_data!$K$10</f>
        <v>29.75</v>
      </c>
      <c r="N9">
        <f>Farm_EU_data!$F$10</f>
        <v>1.59</v>
      </c>
      <c r="O9">
        <f t="shared" si="0"/>
        <v>0.10181417396249824</v>
      </c>
      <c r="P9">
        <f>Farm_UA_data!$H$9/D9</f>
        <v>2.5269863863423468E-2</v>
      </c>
    </row>
    <row r="10" spans="1:16" x14ac:dyDescent="0.2">
      <c r="A10" t="s">
        <v>84</v>
      </c>
      <c r="B10">
        <f>Farm_UA_data!$D$10</f>
        <v>1.2151915499486772</v>
      </c>
      <c r="C10">
        <f>Farm_EU_data!$AE$11</f>
        <v>2.44</v>
      </c>
      <c r="D10">
        <f>Farm_EU_data!$AE$25</f>
        <v>37.24</v>
      </c>
      <c r="E10">
        <f>Farm_EU_data!$I$11</f>
        <v>12.01</v>
      </c>
      <c r="F10">
        <f>Farm_EU_data!$Y$11</f>
        <v>1.98</v>
      </c>
      <c r="G10">
        <f>Farm_EU_data!$Q$11</f>
        <v>1.5</v>
      </c>
      <c r="H10">
        <f>Farm_EU_data!$AA$11</f>
        <v>0.37</v>
      </c>
      <c r="I10">
        <f>Farm_EU_data!$H$11</f>
        <v>1.69</v>
      </c>
      <c r="J10">
        <f>Farm_EU_data!$AD$11</f>
        <v>0.63</v>
      </c>
      <c r="K10">
        <f>Farm_EU_data!$T$11</f>
        <v>0.19</v>
      </c>
      <c r="L10">
        <f>Farm_EU_data!$V$11</f>
        <v>0.28999999999999998</v>
      </c>
      <c r="M10">
        <f>Farm_EU_data!$K$11</f>
        <v>2.0499999999999998</v>
      </c>
      <c r="N10">
        <f>Farm_EU_data!$F$11</f>
        <v>0.36</v>
      </c>
      <c r="O10">
        <f t="shared" si="0"/>
        <v>0.49802932374945785</v>
      </c>
      <c r="P10">
        <f>Farm_UA_data!$H$10/D10</f>
        <v>0.47608669707394774</v>
      </c>
    </row>
    <row r="11" spans="1:16" x14ac:dyDescent="0.2">
      <c r="A11" t="s">
        <v>88</v>
      </c>
      <c r="B11">
        <f>Farm_UA_data!$D$11</f>
        <v>0.24502499917221285</v>
      </c>
      <c r="C11">
        <f>Farm_EU_data!$AE$12</f>
        <v>1.96</v>
      </c>
      <c r="D11">
        <f>Farm_EU_data!$AE$26</f>
        <v>14.6</v>
      </c>
      <c r="E11">
        <f>Farm_EU_data!$I$12</f>
        <v>3.46</v>
      </c>
      <c r="F11">
        <f>Farm_EU_data!$Y$12</f>
        <v>0.06</v>
      </c>
      <c r="G11">
        <f>Farm_EU_data!$Q$12</f>
        <v>0.23</v>
      </c>
      <c r="H11">
        <f>Farm_EU_data!$AA$12</f>
        <v>2.87</v>
      </c>
      <c r="I11">
        <f>Farm_EU_data!$H$12</f>
        <v>0.75</v>
      </c>
      <c r="J11">
        <f>Farm_EU_data!$AD$12</f>
        <v>0.03</v>
      </c>
      <c r="K11">
        <f>Farm_EU_data!$T$12</f>
        <v>0.1</v>
      </c>
      <c r="L11">
        <f>Farm_EU_data!$V$12</f>
        <v>0.53</v>
      </c>
      <c r="M11">
        <f>Farm_EU_data!$K$12</f>
        <v>0.75</v>
      </c>
      <c r="N11">
        <f>Farm_EU_data!$F$12</f>
        <v>0.01</v>
      </c>
      <c r="O11">
        <f t="shared" si="0"/>
        <v>0.12501275467970044</v>
      </c>
      <c r="P11">
        <f>Farm_UA_data!$H$11/D11</f>
        <v>0.24485474157898221</v>
      </c>
    </row>
    <row r="12" spans="1:16" x14ac:dyDescent="0.2">
      <c r="A12" t="s">
        <v>90</v>
      </c>
      <c r="B12">
        <f>Farm_UA_data!$D$12</f>
        <v>0.65560743021754242</v>
      </c>
      <c r="C12">
        <f>Farm_EU_data!$AE$13</f>
        <v>4.6900000000000004</v>
      </c>
      <c r="D12">
        <f>Farm_EU_data!$AE$27</f>
        <v>49.07</v>
      </c>
      <c r="E12">
        <f>Farm_EU_data!$I$13</f>
        <v>11.02</v>
      </c>
      <c r="F12">
        <f>Farm_EU_data!$Y$13</f>
        <v>3.21</v>
      </c>
      <c r="G12">
        <f>Farm_EU_data!$Q$13</f>
        <v>2.58</v>
      </c>
      <c r="H12">
        <f>Farm_EU_data!$AA$13</f>
        <v>0.38</v>
      </c>
      <c r="I12">
        <f>Farm_EU_data!$H$13</f>
        <v>2.71</v>
      </c>
      <c r="J12">
        <f>Farm_EU_data!$AD$13</f>
        <v>0.68</v>
      </c>
      <c r="K12">
        <f>Farm_EU_data!$T$13</f>
        <v>1.21</v>
      </c>
      <c r="L12">
        <f>Farm_EU_data!$V$13</f>
        <v>1.78</v>
      </c>
      <c r="M12">
        <f>Farm_EU_data!$K$13</f>
        <v>9.6199999999999992</v>
      </c>
      <c r="N12">
        <f>Farm_EU_data!$F$13</f>
        <v>3.08</v>
      </c>
      <c r="O12">
        <f t="shared" si="0"/>
        <v>0.13978836465192801</v>
      </c>
      <c r="P12">
        <f>Farm_UA_data!$H$12/D12</f>
        <v>0.19493004669460665</v>
      </c>
    </row>
    <row r="13" spans="1:16" x14ac:dyDescent="0.2">
      <c r="A13" t="s">
        <v>92</v>
      </c>
      <c r="B13">
        <f>Farm_UA_data!$D$13</f>
        <v>1.1721466176616668</v>
      </c>
      <c r="C13">
        <f>Farm_EU_data!$AE$14</f>
        <v>2.5099999999999998</v>
      </c>
      <c r="D13">
        <f>Farm_EU_data!$AE$28</f>
        <v>38.520000000000003</v>
      </c>
      <c r="E13">
        <f>Farm_EU_data!$I$14</f>
        <v>11.67</v>
      </c>
      <c r="F13">
        <f>Farm_EU_data!$Y$14</f>
        <v>2.13</v>
      </c>
      <c r="G13">
        <f>Farm_EU_data!$Q$14</f>
        <v>0.85</v>
      </c>
      <c r="H13">
        <f>Farm_EU_data!$AA$14</f>
        <v>0.17</v>
      </c>
      <c r="I13">
        <f>Farm_EU_data!$H$14</f>
        <v>2.14</v>
      </c>
      <c r="J13">
        <f>Farm_EU_data!$AD$14</f>
        <v>0.46</v>
      </c>
      <c r="K13">
        <f>Farm_EU_data!$T$14</f>
        <v>0.17</v>
      </c>
      <c r="L13">
        <f>Farm_EU_data!$V$14</f>
        <v>0.43</v>
      </c>
      <c r="M13">
        <f>Farm_EU_data!$K$14</f>
        <v>1.87</v>
      </c>
      <c r="N13">
        <f>Farm_EU_data!$F$14</f>
        <v>0.53</v>
      </c>
      <c r="O13">
        <f t="shared" si="0"/>
        <v>0.46699068432735735</v>
      </c>
      <c r="P13">
        <f>Farm_UA_data!$H$13/D13</f>
        <v>0.4439628576158442</v>
      </c>
    </row>
    <row r="15" spans="1:16" x14ac:dyDescent="0.2">
      <c r="A15" t="s">
        <v>123</v>
      </c>
      <c r="O15">
        <f>(SMALL(O4:O13,5)+SMALL(O4:O13,6))/2</f>
        <v>0.39865952598008969</v>
      </c>
      <c r="P15">
        <f>(SMALL(P4:P13,5)+SMALL(P4:P13,6))/2</f>
        <v>0.17729533274721254</v>
      </c>
    </row>
    <row r="18" spans="1:15" x14ac:dyDescent="0.2">
      <c r="A18" s="3" t="s">
        <v>124</v>
      </c>
    </row>
    <row r="19" spans="1:15" x14ac:dyDescent="0.2">
      <c r="A19" s="3" t="s">
        <v>125</v>
      </c>
      <c r="B19" s="3" t="s">
        <v>69</v>
      </c>
      <c r="C19" s="3" t="s">
        <v>73</v>
      </c>
      <c r="D19" s="3" t="s">
        <v>76</v>
      </c>
      <c r="E19" s="3" t="s">
        <v>78</v>
      </c>
      <c r="F19" s="3" t="s">
        <v>80</v>
      </c>
      <c r="G19" s="3" t="s">
        <v>82</v>
      </c>
      <c r="H19" s="3" t="s">
        <v>84</v>
      </c>
      <c r="I19" s="3" t="s">
        <v>88</v>
      </c>
      <c r="J19" s="3" t="s">
        <v>90</v>
      </c>
      <c r="K19" s="3" t="s">
        <v>92</v>
      </c>
      <c r="L19" s="3" t="s">
        <v>126</v>
      </c>
      <c r="M19" s="3" t="s">
        <v>127</v>
      </c>
      <c r="N19" s="3" t="s">
        <v>128</v>
      </c>
      <c r="O19" s="3" t="s">
        <v>129</v>
      </c>
    </row>
    <row r="20" spans="1:15" x14ac:dyDescent="0.2">
      <c r="A20" t="s">
        <v>65</v>
      </c>
      <c r="B20">
        <f>MIN(1,Farm_EU_data!$AE$5/Farm_EU_data!$AF$5)</f>
        <v>0.19388920616790403</v>
      </c>
      <c r="C20">
        <f>MIN(1,Farm_EU_data!$AE$6/Farm_EU_data!$AF$6)</f>
        <v>8.9567430025445302E-2</v>
      </c>
      <c r="D20">
        <f>MIN(1,Farm_EU_data!$AE$7/Farm_EU_data!$AF$7)</f>
        <v>0.33254344391785151</v>
      </c>
      <c r="E20">
        <f>MIN(1,Farm_EU_data!$AE$8/Farm_EU_data!$AF$8)</f>
        <v>0.28617536309844005</v>
      </c>
      <c r="F20">
        <f>MIN(1,Farm_EU_data!$AE$9/Farm_EU_data!$AF$9)</f>
        <v>0.15410305343511449</v>
      </c>
      <c r="G20">
        <f>MIN(1,Farm_EU_data!$AE$10/Farm_EU_data!$AF$10)</f>
        <v>0.17893741131956487</v>
      </c>
      <c r="H20">
        <f>MIN(1,Farm_EU_data!$AE$11/Farm_EU_data!$AF$11)</f>
        <v>0.16084377059986815</v>
      </c>
      <c r="I20">
        <f>MIN(1,Farm_EU_data!$AE$12/Farm_EU_data!$AF$12)</f>
        <v>0.15947925142392189</v>
      </c>
      <c r="J20">
        <f>MIN(1,Farm_EU_data!$AE$13/Farm_EU_data!$AF$13)</f>
        <v>0.17135549872122763</v>
      </c>
      <c r="K20">
        <f>MIN(1,Farm_EU_data!$AE$14/Farm_EU_data!$AF$14)</f>
        <v>0.15845959595959594</v>
      </c>
      <c r="L20">
        <f t="shared" ref="L20:L31" si="1">B20</f>
        <v>0.19388920616790403</v>
      </c>
      <c r="M20">
        <f t="shared" ref="M20:M31" si="2">AVERAGE(C20:K20)</f>
        <v>0.18794053538900332</v>
      </c>
      <c r="N20">
        <f t="shared" ref="N20:N31" si="3">AVERAGE(C20:G20)</f>
        <v>0.20826534035928326</v>
      </c>
      <c r="O20">
        <f t="shared" ref="O20:O31" si="4">AVERAGE(H20:K20)</f>
        <v>0.16253452917615341</v>
      </c>
    </row>
    <row r="21" spans="1:15" x14ac:dyDescent="0.2">
      <c r="A21" t="s">
        <v>43</v>
      </c>
      <c r="B21">
        <f>MIN(1,Farm_EU_data!$I$5/Farm_EU_data!$AF$5)</f>
        <v>0.52141633352370076</v>
      </c>
      <c r="C21">
        <f>MIN(1,Farm_EU_data!$I$6/Farm_EU_data!$AF$6)</f>
        <v>0.16641221374045803</v>
      </c>
      <c r="D21">
        <f>MIN(1,Farm_EU_data!$I$7/Farm_EU_data!$AF$7)</f>
        <v>0.60821484992101105</v>
      </c>
      <c r="E21">
        <f>MIN(1,Farm_EU_data!$I$8/Farm_EU_data!$AF$8)</f>
        <v>1</v>
      </c>
      <c r="F21">
        <f>MIN(1,Farm_EU_data!$I$9/Farm_EU_data!$AF$9)</f>
        <v>1</v>
      </c>
      <c r="G21">
        <f>MIN(1,Farm_EU_data!$I$10/Farm_EU_data!$AF$10)</f>
        <v>0.59577486993536177</v>
      </c>
      <c r="H21">
        <f>MIN(1,Farm_EU_data!$I$11/Farm_EU_data!$AF$11)</f>
        <v>0.79169413315754777</v>
      </c>
      <c r="I21">
        <f>MIN(1,Farm_EU_data!$I$12/Farm_EU_data!$AF$12)</f>
        <v>0.28152969894222946</v>
      </c>
      <c r="J21">
        <f>MIN(1,Farm_EU_data!$I$13/Farm_EU_data!$AF$13)</f>
        <v>0.40263061746437701</v>
      </c>
      <c r="K21">
        <f>MIN(1,Farm_EU_data!$I$14/Farm_EU_data!$AF$14)</f>
        <v>0.7367424242424242</v>
      </c>
      <c r="L21">
        <f t="shared" si="1"/>
        <v>0.52141633352370076</v>
      </c>
      <c r="M21">
        <f t="shared" si="2"/>
        <v>0.62033320082260102</v>
      </c>
      <c r="N21">
        <f t="shared" si="3"/>
        <v>0.67408038671936621</v>
      </c>
      <c r="O21">
        <f t="shared" si="4"/>
        <v>0.55314921845164455</v>
      </c>
    </row>
    <row r="22" spans="1:15" x14ac:dyDescent="0.2">
      <c r="A22" t="s">
        <v>59</v>
      </c>
      <c r="B22">
        <f>MIN(1,Farm_EU_data!$Y$5/Farm_EU_data!$AF$5)</f>
        <v>3.8263849229011992E-2</v>
      </c>
      <c r="C22">
        <f>MIN(1,Farm_EU_data!$Y$6/Farm_EU_data!$AF$6)</f>
        <v>1.1195928753180663E-2</v>
      </c>
      <c r="D22">
        <f>MIN(1,Farm_EU_data!$Y$7/Farm_EU_data!$AF$7)</f>
        <v>1</v>
      </c>
      <c r="E22">
        <f>MIN(1,Farm_EU_data!$Y$8/Farm_EU_data!$AF$8)</f>
        <v>0.73641742872512106</v>
      </c>
      <c r="F22">
        <f>MIN(1,Farm_EU_data!$Y$9/Farm_EU_data!$AF$9)</f>
        <v>0.13454198473282442</v>
      </c>
      <c r="G22">
        <f>MIN(1,Farm_EU_data!$Y$10/Farm_EU_data!$AF$10)</f>
        <v>0.19407220558095539</v>
      </c>
      <c r="H22">
        <f>MIN(1,Farm_EU_data!$Y$11/Farm_EU_data!$AF$11)</f>
        <v>0.13052076466710613</v>
      </c>
      <c r="I22">
        <f>MIN(1,Farm_EU_data!$Y$12/Farm_EU_data!$AF$12)</f>
        <v>4.8820179007323028E-3</v>
      </c>
      <c r="J22">
        <f>MIN(1,Farm_EU_data!$Y$13/Farm_EU_data!$AF$13)</f>
        <v>0.11728169528681037</v>
      </c>
      <c r="K22">
        <f>MIN(1,Farm_EU_data!$Y$14/Farm_EU_data!$AF$14)</f>
        <v>0.13446969696969696</v>
      </c>
      <c r="L22">
        <f t="shared" si="1"/>
        <v>3.8263849229011992E-2</v>
      </c>
      <c r="M22">
        <f t="shared" si="2"/>
        <v>0.27370908029071411</v>
      </c>
      <c r="N22">
        <f t="shared" si="3"/>
        <v>0.41524550955841627</v>
      </c>
      <c r="O22">
        <f t="shared" si="4"/>
        <v>9.6788543706086444E-2</v>
      </c>
    </row>
    <row r="23" spans="1:15" x14ac:dyDescent="0.2">
      <c r="A23" t="s">
        <v>51</v>
      </c>
      <c r="B23">
        <f>MIN(1,Farm_EU_data!$Q$5/Farm_EU_data!$AF$5)</f>
        <v>7.481439177612792E-2</v>
      </c>
      <c r="C23">
        <f>MIN(1,Farm_EU_data!$Q$6/Farm_EU_data!$AF$6)</f>
        <v>5.1399491094147584E-2</v>
      </c>
      <c r="D23">
        <f>MIN(1,Farm_EU_data!$Q$7/Farm_EU_data!$AF$7)</f>
        <v>0.26382306477093204</v>
      </c>
      <c r="E23">
        <f>MIN(1,Farm_EU_data!$Q$8/Farm_EU_data!$AF$8)</f>
        <v>0.31199569661108123</v>
      </c>
      <c r="F23">
        <f>MIN(1,Farm_EU_data!$Q$9/Farm_EU_data!$AF$9)</f>
        <v>0.25381679389312978</v>
      </c>
      <c r="G23">
        <f>MIN(1,Farm_EU_data!$Q$10/Farm_EU_data!$AF$10)</f>
        <v>8.8128645751221812E-2</v>
      </c>
      <c r="H23">
        <f>MIN(1,Farm_EU_data!$Q$11/Farm_EU_data!$AF$11)</f>
        <v>9.8879367172050106E-2</v>
      </c>
      <c r="I23">
        <f>MIN(1,Farm_EU_data!$Q$12/Farm_EU_data!$AF$12)</f>
        <v>1.8714401952807162E-2</v>
      </c>
      <c r="J23">
        <f>MIN(1,Farm_EU_data!$Q$13/Farm_EU_data!$AF$13)</f>
        <v>9.4263792473511146E-2</v>
      </c>
      <c r="K23">
        <f>MIN(1,Farm_EU_data!$Q$14/Farm_EU_data!$AF$14)</f>
        <v>5.366161616161616E-2</v>
      </c>
      <c r="L23">
        <f t="shared" si="1"/>
        <v>7.481439177612792E-2</v>
      </c>
      <c r="M23">
        <f t="shared" si="2"/>
        <v>0.13718698554227746</v>
      </c>
      <c r="N23">
        <f t="shared" si="3"/>
        <v>0.19383273842410248</v>
      </c>
      <c r="O23">
        <f t="shared" si="4"/>
        <v>6.6379794439996143E-2</v>
      </c>
    </row>
    <row r="24" spans="1:15" x14ac:dyDescent="0.2">
      <c r="A24" t="s">
        <v>61</v>
      </c>
      <c r="B24">
        <f>MIN(1,Farm_EU_data!$AA$5/Farm_EU_data!$AF$5)</f>
        <v>9.3089663049685883E-2</v>
      </c>
      <c r="C24">
        <f>MIN(1,Farm_EU_data!$AA$6/Farm_EU_data!$AF$6)</f>
        <v>7.1246819338422404E-3</v>
      </c>
      <c r="D24">
        <f>MIN(1,Farm_EU_data!$AA$7/Farm_EU_data!$AF$7)</f>
        <v>3.5545023696682464E-2</v>
      </c>
      <c r="E24">
        <f>MIN(1,Farm_EU_data!$AA$8/Farm_EU_data!$AF$8)</f>
        <v>4.195804195804196E-2</v>
      </c>
      <c r="F24">
        <f>MIN(1,Farm_EU_data!$AA$9/Farm_EU_data!$AF$9)</f>
        <v>1.7652671755725189E-2</v>
      </c>
      <c r="G24">
        <f>MIN(1,Farm_EU_data!$AA$10/Farm_EU_data!$AF$10)</f>
        <v>4.7296232066845337E-3</v>
      </c>
      <c r="H24">
        <f>MIN(1,Farm_EU_data!$AA$11/Farm_EU_data!$AF$11)</f>
        <v>2.4390243902439025E-2</v>
      </c>
      <c r="I24">
        <f>MIN(1,Farm_EU_data!$AA$12/Farm_EU_data!$AF$12)</f>
        <v>0.23352318958502849</v>
      </c>
      <c r="J24">
        <f>MIN(1,Farm_EU_data!$AA$13/Farm_EU_data!$AF$13)</f>
        <v>1.3883814395323347E-2</v>
      </c>
      <c r="K24">
        <f>MIN(1,Farm_EU_data!$AA$14/Farm_EU_data!$AF$14)</f>
        <v>1.0732323232323234E-2</v>
      </c>
      <c r="L24">
        <f t="shared" si="1"/>
        <v>9.3089663049685883E-2</v>
      </c>
      <c r="M24">
        <f t="shared" si="2"/>
        <v>4.3282179296232272E-2</v>
      </c>
      <c r="N24">
        <f t="shared" si="3"/>
        <v>2.1402008510195279E-2</v>
      </c>
      <c r="O24">
        <f t="shared" si="4"/>
        <v>7.063239277877853E-2</v>
      </c>
    </row>
    <row r="25" spans="1:15" x14ac:dyDescent="0.2">
      <c r="A25" t="s">
        <v>42</v>
      </c>
      <c r="B25">
        <f>MIN(1,Farm_EU_data!$H$5/Farm_EU_data!$AF$5)</f>
        <v>9.7372929754426032E-2</v>
      </c>
      <c r="C25">
        <f>MIN(1,Farm_EU_data!$H$6/Farm_EU_data!$AF$6)</f>
        <v>4.3765903307888043E-2</v>
      </c>
      <c r="D25">
        <f>MIN(1,Farm_EU_data!$H$7/Farm_EU_data!$AF$7)</f>
        <v>6.0031595576619273E-2</v>
      </c>
      <c r="E25">
        <f>MIN(1,Farm_EU_data!$H$8/Farm_EU_data!$AF$8)</f>
        <v>0.18074233458848843</v>
      </c>
      <c r="F25">
        <f>MIN(1,Farm_EU_data!$H$9/Farm_EU_data!$AF$9)</f>
        <v>8.4446564885496178E-2</v>
      </c>
      <c r="G25">
        <f>MIN(1,Farm_EU_data!$H$10/Farm_EU_data!$AF$10)</f>
        <v>2.1125650323190921E-2</v>
      </c>
      <c r="H25">
        <f>MIN(1,Farm_EU_data!$H$11/Farm_EU_data!$AF$11)</f>
        <v>0.11140408701384311</v>
      </c>
      <c r="I25">
        <f>MIN(1,Farm_EU_data!$H$12/Farm_EU_data!$AF$12)</f>
        <v>6.1025223759153785E-2</v>
      </c>
      <c r="J25">
        <f>MIN(1,Farm_EU_data!$H$13/Farm_EU_data!$AF$13)</f>
        <v>9.9013518450858595E-2</v>
      </c>
      <c r="K25">
        <f>MIN(1,Farm_EU_data!$H$14/Farm_EU_data!$AF$14)</f>
        <v>0.13510101010101011</v>
      </c>
      <c r="L25">
        <f t="shared" si="1"/>
        <v>9.7372929754426032E-2</v>
      </c>
      <c r="M25">
        <f t="shared" si="2"/>
        <v>8.8517320889616488E-2</v>
      </c>
      <c r="N25">
        <f t="shared" si="3"/>
        <v>7.8022409736336562E-2</v>
      </c>
      <c r="O25">
        <f t="shared" si="4"/>
        <v>0.1016359598312164</v>
      </c>
    </row>
    <row r="26" spans="1:15" x14ac:dyDescent="0.2">
      <c r="A26" t="s">
        <v>64</v>
      </c>
      <c r="B26">
        <f>MIN(1,Farm_EU_data!$AD$5/Farm_EU_data!$AF$5)</f>
        <v>3.740719588806396E-2</v>
      </c>
      <c r="C26">
        <f>MIN(1,Farm_EU_data!$AD$6/Farm_EU_data!$AF$6)</f>
        <v>3.0025445292620866E-2</v>
      </c>
      <c r="D26">
        <f>MIN(1,Farm_EU_data!$AD$7/Farm_EU_data!$AF$7)</f>
        <v>1.4218009478672985E-2</v>
      </c>
      <c r="E26">
        <f>MIN(1,Farm_EU_data!$AD$8/Farm_EU_data!$AF$8)</f>
        <v>3.8192576654115115E-2</v>
      </c>
      <c r="F26">
        <f>MIN(1,Farm_EU_data!$AD$9/Farm_EU_data!$AF$9)</f>
        <v>1.9561068702290074E-2</v>
      </c>
      <c r="G26">
        <f>MIN(1,Farm_EU_data!$AD$10/Farm_EU_data!$AF$10)</f>
        <v>1.0247516947816492E-2</v>
      </c>
      <c r="H26">
        <f>MIN(1,Farm_EU_data!$AD$11/Farm_EU_data!$AF$11)</f>
        <v>4.1529334212261043E-2</v>
      </c>
      <c r="I26">
        <f>MIN(1,Farm_EU_data!$AD$12/Farm_EU_data!$AF$12)</f>
        <v>2.4410089503661514E-3</v>
      </c>
      <c r="J26">
        <f>MIN(1,Farm_EU_data!$AD$13/Farm_EU_data!$AF$13)</f>
        <v>2.4844720496894412E-2</v>
      </c>
      <c r="K26">
        <f>MIN(1,Farm_EU_data!$AD$14/Farm_EU_data!$AF$14)</f>
        <v>2.9040404040404044E-2</v>
      </c>
      <c r="L26">
        <f t="shared" si="1"/>
        <v>3.740719588806396E-2</v>
      </c>
      <c r="M26">
        <f t="shared" si="2"/>
        <v>2.3344453863937905E-2</v>
      </c>
      <c r="N26">
        <f t="shared" si="3"/>
        <v>2.2448923415103107E-2</v>
      </c>
      <c r="O26">
        <f t="shared" si="4"/>
        <v>2.4463866924981412E-2</v>
      </c>
    </row>
    <row r="27" spans="1:15" x14ac:dyDescent="0.2">
      <c r="A27" t="s">
        <v>54</v>
      </c>
      <c r="B27">
        <f>MIN(1,Farm_EU_data!$T$5/Farm_EU_data!$AF$5)</f>
        <v>1.3135351227869787E-2</v>
      </c>
      <c r="C27">
        <f>MIN(1,Farm_EU_data!$T$6/Farm_EU_data!$AF$6)</f>
        <v>2.5445292620865142E-3</v>
      </c>
      <c r="D27">
        <f>MIN(1,Farm_EU_data!$T$7/Farm_EU_data!$AF$7)</f>
        <v>3.3965244865718801E-2</v>
      </c>
      <c r="E27">
        <f>MIN(1,Farm_EU_data!$T$8/Farm_EU_data!$AF$8)</f>
        <v>4.6799354491662185E-2</v>
      </c>
      <c r="F27">
        <f>MIN(1,Farm_EU_data!$T$9/Farm_EU_data!$AF$9)</f>
        <v>3.9122137404580148E-2</v>
      </c>
      <c r="G27">
        <f>MIN(1,Farm_EU_data!$T$10/Farm_EU_data!$AF$10)</f>
        <v>3.7364023332807819E-2</v>
      </c>
      <c r="H27">
        <f>MIN(1,Farm_EU_data!$T$11/Farm_EU_data!$AF$11)</f>
        <v>1.2524719841793012E-2</v>
      </c>
      <c r="I27">
        <f>MIN(1,Farm_EU_data!$T$12/Farm_EU_data!$AF$12)</f>
        <v>8.1366965012205049E-3</v>
      </c>
      <c r="J27">
        <f>MIN(1,Farm_EU_data!$T$13/Farm_EU_data!$AF$13)</f>
        <v>4.4208987943003285E-2</v>
      </c>
      <c r="K27">
        <f>MIN(1,Farm_EU_data!$T$14/Farm_EU_data!$AF$14)</f>
        <v>1.0732323232323234E-2</v>
      </c>
      <c r="L27">
        <f t="shared" si="1"/>
        <v>1.3135351227869787E-2</v>
      </c>
      <c r="M27">
        <f t="shared" si="2"/>
        <v>2.6155335208355057E-2</v>
      </c>
      <c r="N27">
        <f t="shared" si="3"/>
        <v>3.1959057871371092E-2</v>
      </c>
      <c r="O27">
        <f t="shared" si="4"/>
        <v>1.8900681879585008E-2</v>
      </c>
    </row>
    <row r="28" spans="1:15" x14ac:dyDescent="0.2">
      <c r="A28" t="s">
        <v>56</v>
      </c>
      <c r="B28">
        <f>MIN(1,Farm_EU_data!$V$5/Farm_EU_data!$AF$5)</f>
        <v>0.13363792118789261</v>
      </c>
      <c r="C28">
        <f>MIN(1,Farm_EU_data!$V$6/Farm_EU_data!$AF$6)</f>
        <v>0.13842239185750638</v>
      </c>
      <c r="D28">
        <f>MIN(1,Farm_EU_data!$V$7/Farm_EU_data!$AF$7)</f>
        <v>0.10979462875197471</v>
      </c>
      <c r="E28">
        <f>MIN(1,Farm_EU_data!$V$8/Farm_EU_data!$AF$8)</f>
        <v>0.21947283485745026</v>
      </c>
      <c r="F28">
        <f>MIN(1,Farm_EU_data!$V$9/Farm_EU_data!$AF$9)</f>
        <v>5.2003816793893133E-2</v>
      </c>
      <c r="G28">
        <f>MIN(1,Farm_EU_data!$V$10/Farm_EU_data!$AF$10)</f>
        <v>8.6236796468547997E-2</v>
      </c>
      <c r="H28">
        <f>MIN(1,Farm_EU_data!$V$11/Farm_EU_data!$AF$11)</f>
        <v>1.9116677653263019E-2</v>
      </c>
      <c r="I28">
        <f>MIN(1,Farm_EU_data!$V$12/Farm_EU_data!$AF$12)</f>
        <v>4.3124491456468676E-2</v>
      </c>
      <c r="J28">
        <f>MIN(1,Farm_EU_data!$V$13/Farm_EU_data!$AF$13)</f>
        <v>6.5034709535988305E-2</v>
      </c>
      <c r="K28">
        <f>MIN(1,Farm_EU_data!$V$14/Farm_EU_data!$AF$14)</f>
        <v>2.7146464646464648E-2</v>
      </c>
      <c r="L28">
        <f t="shared" si="1"/>
        <v>0.13363792118789261</v>
      </c>
      <c r="M28">
        <f t="shared" si="2"/>
        <v>8.4483645780173006E-2</v>
      </c>
      <c r="N28">
        <f t="shared" si="3"/>
        <v>0.12118609374587448</v>
      </c>
      <c r="O28">
        <f t="shared" si="4"/>
        <v>3.8605585823046157E-2</v>
      </c>
    </row>
    <row r="29" spans="1:15" x14ac:dyDescent="0.2">
      <c r="A29" t="s">
        <v>45</v>
      </c>
      <c r="B29">
        <f>MIN(1,Farm_EU_data!$K$5/Farm_EU_data!$AF$5)</f>
        <v>0.22929754426042256</v>
      </c>
      <c r="C29">
        <f>MIN(1,Farm_EU_data!$K$6/Farm_EU_data!$AF$6)</f>
        <v>0.25648854961832063</v>
      </c>
      <c r="D29">
        <f>MIN(1,Farm_EU_data!$K$7/Farm_EU_data!$AF$7)</f>
        <v>0.37519747235387046</v>
      </c>
      <c r="E29">
        <f>MIN(1,Farm_EU_data!$K$8/Farm_EU_data!$AF$8)</f>
        <v>0.51640667025282405</v>
      </c>
      <c r="F29">
        <f>MIN(1,Farm_EU_data!$K$9/Farm_EU_data!$AF$9)</f>
        <v>0.22232824427480916</v>
      </c>
      <c r="G29">
        <f>MIN(1,Farm_EU_data!$K$10/Farm_EU_data!$AF$10)</f>
        <v>0.46902096799621629</v>
      </c>
      <c r="H29">
        <f>MIN(1,Farm_EU_data!$K$11/Farm_EU_data!$AF$11)</f>
        <v>0.13513513513513511</v>
      </c>
      <c r="I29">
        <f>MIN(1,Farm_EU_data!$K$12/Farm_EU_data!$AF$12)</f>
        <v>6.1025223759153785E-2</v>
      </c>
      <c r="J29">
        <f>MIN(1,Farm_EU_data!$K$13/Farm_EU_data!$AF$13)</f>
        <v>0.35147972232371205</v>
      </c>
      <c r="K29">
        <f>MIN(1,Farm_EU_data!$K$14/Farm_EU_data!$AF$14)</f>
        <v>0.11805555555555557</v>
      </c>
      <c r="L29">
        <f t="shared" si="1"/>
        <v>0.22929754426042256</v>
      </c>
      <c r="M29">
        <f t="shared" si="2"/>
        <v>0.27834861569662184</v>
      </c>
      <c r="N29">
        <f t="shared" si="3"/>
        <v>0.36788838089920811</v>
      </c>
      <c r="O29">
        <f t="shared" si="4"/>
        <v>0.16642390919338912</v>
      </c>
    </row>
    <row r="30" spans="1:15" x14ac:dyDescent="0.2">
      <c r="A30" t="s">
        <v>40</v>
      </c>
      <c r="B30">
        <f>MIN(1,Farm_EU_data!$F$5/Farm_EU_data!$AF$5)</f>
        <v>1.5990862364363222E-2</v>
      </c>
      <c r="C30">
        <f>MIN(1,Farm_EU_data!$F$6/Farm_EU_data!$AF$6)</f>
        <v>1.3231552162849875E-2</v>
      </c>
      <c r="D30">
        <f>MIN(1,Farm_EU_data!$F$7/Farm_EU_data!$AF$7)</f>
        <v>2.2906793048973143E-2</v>
      </c>
      <c r="E30">
        <f>MIN(1,Farm_EU_data!$F$8/Farm_EU_data!$AF$8)</f>
        <v>4.8413125336202262E-2</v>
      </c>
      <c r="F30">
        <f>MIN(1,Farm_EU_data!$F$9/Farm_EU_data!$AF$9)</f>
        <v>2.0515267175572519E-2</v>
      </c>
      <c r="G30">
        <f>MIN(1,Farm_EU_data!$F$10/Farm_EU_data!$AF$10)</f>
        <v>2.5067002995428033E-2</v>
      </c>
      <c r="H30">
        <f>MIN(1,Farm_EU_data!$F$11/Farm_EU_data!$AF$11)</f>
        <v>2.3731048121292023E-2</v>
      </c>
      <c r="I30">
        <f>MIN(1,Farm_EU_data!$F$12/Farm_EU_data!$AF$12)</f>
        <v>8.1366965012205053E-4</v>
      </c>
      <c r="J30">
        <f>MIN(1,Farm_EU_data!$F$13/Farm_EU_data!$AF$13)</f>
        <v>0.11253196930946291</v>
      </c>
      <c r="K30">
        <f>MIN(1,Farm_EU_data!$F$14/Farm_EU_data!$AF$14)</f>
        <v>3.345959595959596E-2</v>
      </c>
      <c r="L30">
        <f t="shared" si="1"/>
        <v>1.5990862364363222E-2</v>
      </c>
      <c r="M30">
        <f t="shared" si="2"/>
        <v>3.3407780417722084E-2</v>
      </c>
      <c r="N30">
        <f t="shared" si="3"/>
        <v>2.6026748143805168E-2</v>
      </c>
      <c r="O30">
        <f t="shared" si="4"/>
        <v>4.2634070760118235E-2</v>
      </c>
    </row>
    <row r="31" spans="1:15" x14ac:dyDescent="0.2">
      <c r="A31" t="s">
        <v>130</v>
      </c>
      <c r="B31">
        <f>MIN(1,Farm_UA_data!$D$4/Farm_EU_data!$AF$5)</f>
        <v>0.11279841017968492</v>
      </c>
      <c r="C31">
        <f>MIN(1,Farm_UA_data!$D$5/Farm_EU_data!$AF$6)</f>
        <v>0.15350923199634545</v>
      </c>
      <c r="D31">
        <f>MIN(1,Farm_UA_data!$D$6/Farm_EU_data!$AF$7)</f>
        <v>0.1098485329963808</v>
      </c>
      <c r="E31">
        <f>MIN(1,Farm_UA_data!$D$7/Farm_EU_data!$AF$8)</f>
        <v>6.964277123441491E-2</v>
      </c>
      <c r="F31">
        <f>MIN(1,Farm_UA_data!$D$8/Farm_EU_data!$AF$9)</f>
        <v>0.14028148807569438</v>
      </c>
      <c r="G31">
        <f>MIN(1,Farm_UA_data!$D$9/Farm_EU_data!$AF$10)</f>
        <v>1.8218364724489282E-2</v>
      </c>
      <c r="H31">
        <f>MIN(1,Farm_UA_data!$D$10/Farm_EU_data!$AF$11)</f>
        <v>8.0104914301165273E-2</v>
      </c>
      <c r="I31">
        <f>MIN(1,Farm_UA_data!$D$11/Farm_EU_data!$AF$12)</f>
        <v>1.9936940534761013E-2</v>
      </c>
      <c r="J31">
        <f>MIN(1,Farm_UA_data!$D$12/Farm_EU_data!$AF$13)</f>
        <v>2.3953504940355953E-2</v>
      </c>
      <c r="K31">
        <f>MIN(1,Farm_UA_data!$D$13/Farm_EU_data!$AF$14)</f>
        <v>7.3999155155408267E-2</v>
      </c>
      <c r="L31">
        <f t="shared" si="1"/>
        <v>0.11279841017968492</v>
      </c>
      <c r="M31">
        <f t="shared" si="2"/>
        <v>7.6610544884335025E-2</v>
      </c>
      <c r="N31">
        <f t="shared" si="3"/>
        <v>9.8300077805464958E-2</v>
      </c>
      <c r="O31">
        <f t="shared" si="4"/>
        <v>4.9498628732922628E-2</v>
      </c>
    </row>
    <row r="36" spans="1:15" x14ac:dyDescent="0.2">
      <c r="A36" s="3" t="s">
        <v>131</v>
      </c>
    </row>
    <row r="37" spans="1:15" x14ac:dyDescent="0.2">
      <c r="A37" s="3" t="s">
        <v>125</v>
      </c>
      <c r="B37" s="3" t="s">
        <v>69</v>
      </c>
      <c r="C37" s="3" t="s">
        <v>73</v>
      </c>
      <c r="D37" s="3" t="s">
        <v>76</v>
      </c>
      <c r="E37" s="3" t="s">
        <v>78</v>
      </c>
      <c r="F37" s="3" t="s">
        <v>80</v>
      </c>
      <c r="G37" s="3" t="s">
        <v>82</v>
      </c>
      <c r="H37" s="3" t="s">
        <v>84</v>
      </c>
      <c r="I37" s="3" t="s">
        <v>88</v>
      </c>
      <c r="J37" s="3" t="s">
        <v>90</v>
      </c>
      <c r="K37" s="3" t="s">
        <v>92</v>
      </c>
      <c r="L37" s="3" t="s">
        <v>126</v>
      </c>
      <c r="M37" s="3" t="s">
        <v>127</v>
      </c>
      <c r="N37" s="3" t="s">
        <v>128</v>
      </c>
      <c r="O37" s="3" t="s">
        <v>129</v>
      </c>
    </row>
    <row r="38" spans="1:15" x14ac:dyDescent="0.2">
      <c r="A38" t="s">
        <v>65</v>
      </c>
      <c r="B38">
        <f>MIN(1,Farm_EU_data!$AE$19/Farm_EU_data!$AF$19)</f>
        <v>0.56785195936139332</v>
      </c>
      <c r="C38">
        <f>MIN(1,Farm_EU_data!$AE$20/Farm_EU_data!$AF$20)</f>
        <v>0.32305289869217257</v>
      </c>
      <c r="D38">
        <f>MIN(1,Farm_EU_data!$AE$21/Farm_EU_data!$AF$21)</f>
        <v>0.34428327645051193</v>
      </c>
      <c r="E38">
        <f>MIN(1,Farm_EU_data!$AE$22/Farm_EU_data!$AF$22)</f>
        <v>0.36582167832167828</v>
      </c>
      <c r="F38">
        <f>MIN(1,Farm_EU_data!$AE$23/Farm_EU_data!$AF$23)</f>
        <v>0.36899133175728921</v>
      </c>
      <c r="G38">
        <f>MIN(1,Farm_EU_data!$AE$24/Farm_EU_data!$AF$24)</f>
        <v>0.52690402120059909</v>
      </c>
      <c r="H38">
        <f>MIN(1,Farm_EU_data!$AE$25/Farm_EU_data!$AF$25)</f>
        <v>0.49448944363298369</v>
      </c>
      <c r="I38">
        <f>MIN(1,Farm_EU_data!$AE$26/Farm_EU_data!$AF$26)</f>
        <v>0.35299806576402321</v>
      </c>
      <c r="J38">
        <f>MIN(1,Farm_EU_data!$AE$27/Farm_EU_data!$AF$27)</f>
        <v>0.65157349621564198</v>
      </c>
      <c r="K38">
        <f>MIN(1,Farm_EU_data!$AE$28/Farm_EU_data!$AF$28)</f>
        <v>0.51305274374001075</v>
      </c>
      <c r="L38">
        <f t="shared" ref="L38:L49" si="5">B38</f>
        <v>0.56785195936139332</v>
      </c>
      <c r="M38">
        <f t="shared" ref="M38:M49" si="6">AVERAGE(C38:K38)</f>
        <v>0.43790743953054562</v>
      </c>
      <c r="N38">
        <f t="shared" ref="N38:N49" si="7">AVERAGE(C38:G38)</f>
        <v>0.38581064128445025</v>
      </c>
      <c r="O38">
        <f t="shared" ref="O38:O49" si="8">AVERAGE(H38:K38)</f>
        <v>0.50302843733816482</v>
      </c>
    </row>
    <row r="39" spans="1:15" x14ac:dyDescent="0.2">
      <c r="A39" t="s">
        <v>43</v>
      </c>
      <c r="B39">
        <f>MIN(1,Farm_EU_data!$I$19/Farm_EU_data!$AF$19)</f>
        <v>0.76306240928882441</v>
      </c>
      <c r="C39">
        <f>MIN(1,Farm_EU_data!$I$20/Farm_EU_data!$AF$20)</f>
        <v>0.19519812609798948</v>
      </c>
      <c r="D39">
        <f>MIN(1,Farm_EU_data!$I$21/Farm_EU_data!$AF$21)</f>
        <v>0.52943686006825941</v>
      </c>
      <c r="E39">
        <f>MIN(1,Farm_EU_data!$I$22/Farm_EU_data!$AF$22)</f>
        <v>1</v>
      </c>
      <c r="F39">
        <f>MIN(1,Farm_EU_data!$I$23/Farm_EU_data!$AF$23)</f>
        <v>1</v>
      </c>
      <c r="G39">
        <f>MIN(1,Farm_EU_data!$I$24/Farm_EU_data!$AF$24)</f>
        <v>0.76356723124783954</v>
      </c>
      <c r="H39">
        <f>MIN(1,Farm_EU_data!$I$25/Farm_EU_data!$AF$25)</f>
        <v>0.72885406984464218</v>
      </c>
      <c r="I39">
        <f>MIN(1,Farm_EU_data!$I$26/Farm_EU_data!$AF$26)</f>
        <v>0.40812379110251451</v>
      </c>
      <c r="J39">
        <f>MIN(1,Farm_EU_data!$I$27/Farm_EU_data!$AF$27)</f>
        <v>0.53830832558757136</v>
      </c>
      <c r="K39">
        <f>MIN(1,Farm_EU_data!$I$28/Farm_EU_data!$AF$28)</f>
        <v>0.67954182205647318</v>
      </c>
      <c r="L39">
        <f t="shared" si="5"/>
        <v>0.76306240928882441</v>
      </c>
      <c r="M39">
        <f t="shared" si="6"/>
        <v>0.64922558066725444</v>
      </c>
      <c r="N39">
        <f t="shared" si="7"/>
        <v>0.69764044348281773</v>
      </c>
      <c r="O39">
        <f t="shared" si="8"/>
        <v>0.58870700214780025</v>
      </c>
    </row>
    <row r="40" spans="1:15" x14ac:dyDescent="0.2">
      <c r="A40" t="s">
        <v>59</v>
      </c>
      <c r="B40">
        <f>MIN(1,Farm_EU_data!$Y$19/Farm_EU_data!$AF$19)</f>
        <v>0.1308055152394775</v>
      </c>
      <c r="C40">
        <f>MIN(1,Farm_EU_data!$Y$20/Farm_EU_data!$AF$20)</f>
        <v>7.7298457934803833E-2</v>
      </c>
      <c r="D40">
        <f>MIN(1,Farm_EU_data!$Y$21/Farm_EU_data!$AF$21)</f>
        <v>1</v>
      </c>
      <c r="E40">
        <f>MIN(1,Farm_EU_data!$Y$22/Farm_EU_data!$AF$22)</f>
        <v>0.57386363636363646</v>
      </c>
      <c r="F40">
        <f>MIN(1,Farm_EU_data!$Y$23/Farm_EU_data!$AF$23)</f>
        <v>0.32151300236406621</v>
      </c>
      <c r="G40">
        <f>MIN(1,Farm_EU_data!$Y$24/Farm_EU_data!$AF$24)</f>
        <v>0.53393248070054156</v>
      </c>
      <c r="H40">
        <f>MIN(1,Farm_EU_data!$Y$25/Farm_EU_data!$AF$25)</f>
        <v>0.79591023768423841</v>
      </c>
      <c r="I40">
        <f>MIN(1,Farm_EU_data!$Y$26/Farm_EU_data!$AF$26)</f>
        <v>0.10275628626692457</v>
      </c>
      <c r="J40">
        <f>MIN(1,Farm_EU_data!$Y$27/Farm_EU_data!$AF$27)</f>
        <v>0.62249369273668842</v>
      </c>
      <c r="K40">
        <f>MIN(1,Farm_EU_data!$Y$28/Farm_EU_data!$AF$28)</f>
        <v>0.72256259989344696</v>
      </c>
      <c r="L40">
        <f t="shared" si="5"/>
        <v>0.1308055152394775</v>
      </c>
      <c r="M40">
        <f t="shared" si="6"/>
        <v>0.52781448821603849</v>
      </c>
      <c r="N40">
        <f t="shared" si="7"/>
        <v>0.50132151547260961</v>
      </c>
      <c r="O40">
        <f t="shared" si="8"/>
        <v>0.56093070414532453</v>
      </c>
    </row>
    <row r="41" spans="1:15" x14ac:dyDescent="0.2">
      <c r="A41" t="s">
        <v>51</v>
      </c>
      <c r="B41">
        <f>MIN(1,Farm_EU_data!$Q$19/Farm_EU_data!$AF$19)</f>
        <v>0.26904934687953558</v>
      </c>
      <c r="C41">
        <f>MIN(1,Farm_EU_data!$Q$20/Farm_EU_data!$AF$20)</f>
        <v>8.8034354870193246E-2</v>
      </c>
      <c r="D41">
        <f>MIN(1,Farm_EU_data!$Q$21/Farm_EU_data!$AF$21)</f>
        <v>0.595136518771331</v>
      </c>
      <c r="E41">
        <f>MIN(1,Farm_EU_data!$Q$22/Farm_EU_data!$AF$22)</f>
        <v>0.58697552447552448</v>
      </c>
      <c r="F41">
        <f>MIN(1,Farm_EU_data!$Q$23/Farm_EU_data!$AF$23)</f>
        <v>0.46434200157604416</v>
      </c>
      <c r="G41">
        <f>MIN(1,Farm_EU_data!$Q$24/Farm_EU_data!$AF$24)</f>
        <v>0.30049544878442214</v>
      </c>
      <c r="H41">
        <f>MIN(1,Farm_EU_data!$Q$25/Farm_EU_data!$AF$25)</f>
        <v>0.54680653299694593</v>
      </c>
      <c r="I41">
        <f>MIN(1,Farm_EU_data!$Q$26/Farm_EU_data!$AF$26)</f>
        <v>0.10662475822050291</v>
      </c>
      <c r="J41">
        <f>MIN(1,Farm_EU_data!$Q$27/Farm_EU_data!$AF$27)</f>
        <v>0.67042889390519189</v>
      </c>
      <c r="K41">
        <f>MIN(1,Farm_EU_data!$Q$28/Farm_EU_data!$AF$28)</f>
        <v>0.46350559403303143</v>
      </c>
      <c r="L41">
        <f t="shared" si="5"/>
        <v>0.26904934687953558</v>
      </c>
      <c r="M41">
        <f t="shared" si="6"/>
        <v>0.42470551418146518</v>
      </c>
      <c r="N41">
        <f t="shared" si="7"/>
        <v>0.40699676969550297</v>
      </c>
      <c r="O41">
        <f t="shared" si="8"/>
        <v>0.44684144478891802</v>
      </c>
    </row>
    <row r="42" spans="1:15" x14ac:dyDescent="0.2">
      <c r="A42" t="s">
        <v>61</v>
      </c>
      <c r="B42">
        <f>MIN(1,Farm_EU_data!$AA$19/Farm_EU_data!$AF$19)</f>
        <v>0.31240928882438318</v>
      </c>
      <c r="C42">
        <f>MIN(1,Farm_EU_data!$AA$20/Farm_EU_data!$AF$20)</f>
        <v>2.4985360140542652E-2</v>
      </c>
      <c r="D42">
        <f>MIN(1,Farm_EU_data!$AA$21/Farm_EU_data!$AF$21)</f>
        <v>0.20989761092150169</v>
      </c>
      <c r="E42">
        <f>MIN(1,Farm_EU_data!$AA$22/Farm_EU_data!$AF$22)</f>
        <v>0.21634615384615385</v>
      </c>
      <c r="F42">
        <f>MIN(1,Farm_EU_data!$AA$23/Farm_EU_data!$AF$23)</f>
        <v>0.10066981875492514</v>
      </c>
      <c r="G42">
        <f>MIN(1,Farm_EU_data!$AA$24/Farm_EU_data!$AF$24)</f>
        <v>7.3625993778085028E-2</v>
      </c>
      <c r="H42">
        <f>MIN(1,Farm_EU_data!$AA$25/Farm_EU_data!$AF$25)</f>
        <v>0.36675076351082192</v>
      </c>
      <c r="I42">
        <f>MIN(1,Farm_EU_data!$AA$26/Farm_EU_data!$AF$26)</f>
        <v>0.99008704061895558</v>
      </c>
      <c r="J42">
        <f>MIN(1,Farm_EU_data!$AA$27/Farm_EU_data!$AF$27)</f>
        <v>0.24658079936263444</v>
      </c>
      <c r="K42">
        <f>MIN(1,Farm_EU_data!$AA$28/Farm_EU_data!$AF$28)</f>
        <v>0.19659030367607885</v>
      </c>
      <c r="L42">
        <f t="shared" si="5"/>
        <v>0.31240928882438318</v>
      </c>
      <c r="M42">
        <f t="shared" si="6"/>
        <v>0.26950376051218883</v>
      </c>
      <c r="N42">
        <f t="shared" si="7"/>
        <v>0.12510498748824167</v>
      </c>
      <c r="O42">
        <f t="shared" si="8"/>
        <v>0.45000222679212271</v>
      </c>
    </row>
    <row r="43" spans="1:15" x14ac:dyDescent="0.2">
      <c r="A43" t="s">
        <v>42</v>
      </c>
      <c r="B43">
        <f>MIN(1,Farm_EU_data!$H$19/Farm_EU_data!$AF$19)</f>
        <v>0.26505805515239478</v>
      </c>
      <c r="C43">
        <f>MIN(1,Farm_EU_data!$H$20/Farm_EU_data!$AF$20)</f>
        <v>7.2613702908452094E-2</v>
      </c>
      <c r="D43">
        <f>MIN(1,Farm_EU_data!$H$21/Farm_EU_data!$AF$21)</f>
        <v>0.13609215017064846</v>
      </c>
      <c r="E43">
        <f>MIN(1,Farm_EU_data!$H$22/Farm_EU_data!$AF$22)</f>
        <v>0.34047202797202797</v>
      </c>
      <c r="F43">
        <f>MIN(1,Farm_EU_data!$H$23/Farm_EU_data!$AF$23)</f>
        <v>0.16390858944050435</v>
      </c>
      <c r="G43">
        <f>MIN(1,Farm_EU_data!$H$24/Farm_EU_data!$AF$24)</f>
        <v>6.728885816338287E-2</v>
      </c>
      <c r="H43">
        <f>MIN(1,Farm_EU_data!$H$25/Farm_EU_data!$AF$25)</f>
        <v>0.27579338733235959</v>
      </c>
      <c r="I43">
        <f>MIN(1,Farm_EU_data!$H$26/Farm_EU_data!$AF$26)</f>
        <v>0.21034816247582203</v>
      </c>
      <c r="J43">
        <f>MIN(1,Farm_EU_data!$H$27/Farm_EU_data!$AF$27)</f>
        <v>0.47470455450803345</v>
      </c>
      <c r="K43">
        <f>MIN(1,Farm_EU_data!$H$28/Farm_EU_data!$AF$28)</f>
        <v>0.38612147043153966</v>
      </c>
      <c r="L43">
        <f t="shared" si="5"/>
        <v>0.26505805515239478</v>
      </c>
      <c r="M43">
        <f t="shared" si="6"/>
        <v>0.23637143371141894</v>
      </c>
      <c r="N43">
        <f t="shared" si="7"/>
        <v>0.15607506573100313</v>
      </c>
      <c r="O43">
        <f t="shared" si="8"/>
        <v>0.33674189368693869</v>
      </c>
    </row>
    <row r="44" spans="1:15" x14ac:dyDescent="0.2">
      <c r="A44" t="s">
        <v>64</v>
      </c>
      <c r="B44">
        <f>MIN(1,Farm_EU_data!$AD$19/Farm_EU_data!$AF$19)</f>
        <v>0.13461538461538461</v>
      </c>
      <c r="C44">
        <f>MIN(1,Farm_EU_data!$AD$20/Farm_EU_data!$AF$20)</f>
        <v>6.8904938512590275E-2</v>
      </c>
      <c r="D44">
        <f>MIN(1,Farm_EU_data!$AD$21/Farm_EU_data!$AF$21)</f>
        <v>5.0341296928327638E-2</v>
      </c>
      <c r="E44">
        <f>MIN(1,Farm_EU_data!$AD$22/Farm_EU_data!$AF$22)</f>
        <v>9.4187062937062929E-2</v>
      </c>
      <c r="F44">
        <f>MIN(1,Farm_EU_data!$AD$23/Farm_EU_data!$AF$23)</f>
        <v>4.6296296296296301E-2</v>
      </c>
      <c r="G44">
        <f>MIN(1,Farm_EU_data!$AD$24/Farm_EU_data!$AF$24)</f>
        <v>3.6179283327572302E-2</v>
      </c>
      <c r="H44">
        <f>MIN(1,Farm_EU_data!$AD$25/Farm_EU_data!$AF$25)</f>
        <v>0.14221218961625282</v>
      </c>
      <c r="I44">
        <f>MIN(1,Farm_EU_data!$AD$26/Farm_EU_data!$AF$26)</f>
        <v>2.8771760154738878E-2</v>
      </c>
      <c r="J44">
        <f>MIN(1,Farm_EU_data!$AD$27/Farm_EU_data!$AF$27)</f>
        <v>0.14221218961625282</v>
      </c>
      <c r="K44">
        <f>MIN(1,Farm_EU_data!$AD$28/Farm_EU_data!$AF$28)</f>
        <v>0.11094832179009058</v>
      </c>
      <c r="L44">
        <f t="shared" si="5"/>
        <v>0.13461538461538461</v>
      </c>
      <c r="M44">
        <f t="shared" si="6"/>
        <v>8.0005926575464958E-2</v>
      </c>
      <c r="N44">
        <f t="shared" si="7"/>
        <v>5.9181775600369892E-2</v>
      </c>
      <c r="O44">
        <f t="shared" si="8"/>
        <v>0.10603611529433377</v>
      </c>
    </row>
    <row r="45" spans="1:15" x14ac:dyDescent="0.2">
      <c r="A45" t="s">
        <v>54</v>
      </c>
      <c r="B45">
        <f>MIN(1,Farm_EU_data!$T$19/Farm_EU_data!$AF$19)</f>
        <v>9.2525399129172708E-2</v>
      </c>
      <c r="C45">
        <f>MIN(1,Farm_EU_data!$T$20/Farm_EU_data!$AF$20)</f>
        <v>9.9551044309974628E-3</v>
      </c>
      <c r="D45">
        <f>MIN(1,Farm_EU_data!$T$21/Farm_EU_data!$AF$21)</f>
        <v>0.17235494880546073</v>
      </c>
      <c r="E45">
        <f>MIN(1,Farm_EU_data!$T$22/Farm_EU_data!$AF$22)</f>
        <v>0.19121503496503497</v>
      </c>
      <c r="F45">
        <f>MIN(1,Farm_EU_data!$T$23/Farm_EU_data!$AF$23)</f>
        <v>0.1524822695035461</v>
      </c>
      <c r="G45">
        <f>MIN(1,Farm_EU_data!$T$24/Farm_EU_data!$AF$24)</f>
        <v>0.19587510081806658</v>
      </c>
      <c r="H45">
        <f>MIN(1,Farm_EU_data!$T$25/Farm_EU_data!$AF$25)</f>
        <v>0.18722613198778382</v>
      </c>
      <c r="I45">
        <f>MIN(1,Farm_EU_data!$T$26/Farm_EU_data!$AF$26)</f>
        <v>0.1859284332688588</v>
      </c>
      <c r="J45">
        <f>MIN(1,Farm_EU_data!$T$27/Farm_EU_data!$AF$27)</f>
        <v>0.42557429292258658</v>
      </c>
      <c r="K45">
        <f>MIN(1,Farm_EU_data!$T$28/Farm_EU_data!$AF$28)</f>
        <v>0.17075119872136388</v>
      </c>
      <c r="L45">
        <f t="shared" si="5"/>
        <v>9.2525399129172708E-2</v>
      </c>
      <c r="M45">
        <f t="shared" si="6"/>
        <v>0.18792916838041099</v>
      </c>
      <c r="N45">
        <f t="shared" si="7"/>
        <v>0.14437649170462116</v>
      </c>
      <c r="O45">
        <f t="shared" si="8"/>
        <v>0.24237001422514826</v>
      </c>
    </row>
    <row r="46" spans="1:15" x14ac:dyDescent="0.2">
      <c r="A46" t="s">
        <v>56</v>
      </c>
      <c r="B46">
        <f>MIN(1,Farm_EU_data!$V$19/Farm_EU_data!$AF$19)</f>
        <v>0.74056603773584906</v>
      </c>
      <c r="C46">
        <f>MIN(1,Farm_EU_data!$V$20/Farm_EU_data!$AF$20)</f>
        <v>0.41655280109310955</v>
      </c>
      <c r="D46">
        <f>MIN(1,Farm_EU_data!$V$21/Farm_EU_data!$AF$21)</f>
        <v>0.40571672354948801</v>
      </c>
      <c r="E46">
        <f>MIN(1,Farm_EU_data!$V$22/Farm_EU_data!$AF$22)</f>
        <v>0.64597902097902093</v>
      </c>
      <c r="F46">
        <f>MIN(1,Farm_EU_data!$V$23/Farm_EU_data!$AF$23)</f>
        <v>0.16706067769897559</v>
      </c>
      <c r="G46">
        <f>MIN(1,Farm_EU_data!$V$24/Farm_EU_data!$AF$24)</f>
        <v>0.32872450743173176</v>
      </c>
      <c r="H46">
        <f>MIN(1,Farm_EU_data!$V$25/Farm_EU_data!$AF$25)</f>
        <v>0.16305935466737484</v>
      </c>
      <c r="I46">
        <f>MIN(1,Farm_EU_data!$V$26/Farm_EU_data!$AF$26)</f>
        <v>0.46663442940038685</v>
      </c>
      <c r="J46">
        <f>MIN(1,Farm_EU_data!$V$27/Farm_EU_data!$AF$27)</f>
        <v>0.44257070774133578</v>
      </c>
      <c r="K46">
        <f>MIN(1,Farm_EU_data!$V$28/Farm_EU_data!$AF$28)</f>
        <v>0.21030900372935535</v>
      </c>
      <c r="L46">
        <f t="shared" si="5"/>
        <v>0.74056603773584906</v>
      </c>
      <c r="M46">
        <f t="shared" si="6"/>
        <v>0.36073413625453088</v>
      </c>
      <c r="N46">
        <f t="shared" si="7"/>
        <v>0.39280674615046518</v>
      </c>
      <c r="O46">
        <f t="shared" si="8"/>
        <v>0.32064337388461323</v>
      </c>
    </row>
    <row r="47" spans="1:15" x14ac:dyDescent="0.2">
      <c r="A47" t="s">
        <v>45</v>
      </c>
      <c r="B47">
        <f>MIN(1,Farm_EU_data!$K$19/Farm_EU_data!$AF$19)</f>
        <v>0.62753991291727151</v>
      </c>
      <c r="C47">
        <f>MIN(1,Farm_EU_data!$K$20/Farm_EU_data!$AF$20)</f>
        <v>0.35662697638102675</v>
      </c>
      <c r="D47">
        <f>MIN(1,Farm_EU_data!$K$21/Farm_EU_data!$AF$21)</f>
        <v>0.57423208191126285</v>
      </c>
      <c r="E47">
        <f>MIN(1,Farm_EU_data!$K$22/Farm_EU_data!$AF$22)</f>
        <v>0.70388986013986021</v>
      </c>
      <c r="F47">
        <f>MIN(1,Farm_EU_data!$K$23/Farm_EU_data!$AF$23)</f>
        <v>0.3221040189125296</v>
      </c>
      <c r="G47">
        <f>MIN(1,Farm_EU_data!$K$24/Farm_EU_data!$AF$24)</f>
        <v>0.84203249222260623</v>
      </c>
      <c r="H47">
        <f>MIN(1,Farm_EU_data!$K$25/Farm_EU_data!$AF$25)</f>
        <v>0.50418271145930149</v>
      </c>
      <c r="I47">
        <f>MIN(1,Farm_EU_data!$K$26/Farm_EU_data!$AF$26)</f>
        <v>0.42843326885880073</v>
      </c>
      <c r="J47">
        <f>MIN(1,Farm_EU_data!$K$27/Farm_EU_data!$AF$27)</f>
        <v>0.87398751825786736</v>
      </c>
      <c r="K47">
        <f>MIN(1,Farm_EU_data!$K$28/Farm_EU_data!$AF$28)</f>
        <v>0.50572722429408634</v>
      </c>
      <c r="L47">
        <f t="shared" si="5"/>
        <v>0.62753991291727151</v>
      </c>
      <c r="M47">
        <f t="shared" si="6"/>
        <v>0.56791290582637133</v>
      </c>
      <c r="N47">
        <f t="shared" si="7"/>
        <v>0.5597770859134571</v>
      </c>
      <c r="O47">
        <f t="shared" si="8"/>
        <v>0.57808268071751401</v>
      </c>
    </row>
    <row r="48" spans="1:15" x14ac:dyDescent="0.2">
      <c r="A48" t="s">
        <v>40</v>
      </c>
      <c r="B48">
        <f>MIN(1,Farm_EU_data!$F$19/Farm_EU_data!$AF$19)</f>
        <v>9.3432510885341089E-2</v>
      </c>
      <c r="C48">
        <f>MIN(1,Farm_EU_data!$F$20/Farm_EU_data!$AF$20)</f>
        <v>4.430997462424361E-2</v>
      </c>
      <c r="D48">
        <f>MIN(1,Farm_EU_data!$F$21/Farm_EU_data!$AF$21)</f>
        <v>7.3805460750853244E-2</v>
      </c>
      <c r="E48">
        <f>MIN(1,Farm_EU_data!$F$22/Farm_EU_data!$AF$22)</f>
        <v>0.15734265734265734</v>
      </c>
      <c r="F48">
        <f>MIN(1,Farm_EU_data!$F$23/Farm_EU_data!$AF$23)</f>
        <v>4.1962174940898343E-2</v>
      </c>
      <c r="G48">
        <f>MIN(1,Farm_EU_data!$F$24/Farm_EU_data!$AF$24)</f>
        <v>7.2243346007604556E-2</v>
      </c>
      <c r="H48">
        <f>MIN(1,Farm_EU_data!$F$25/Farm_EU_data!$AF$25)</f>
        <v>0.20515203824193332</v>
      </c>
      <c r="I48">
        <f>MIN(1,Farm_EU_data!$F$26/Farm_EU_data!$AF$26)</f>
        <v>1.9584139264990329E-2</v>
      </c>
      <c r="J48">
        <f>MIN(1,Farm_EU_data!$F$27/Farm_EU_data!$AF$27)</f>
        <v>0.5181250829903068</v>
      </c>
      <c r="K48">
        <f>MIN(1,Farm_EU_data!$F$28/Farm_EU_data!$AF$28)</f>
        <v>0.25985615343633461</v>
      </c>
      <c r="L48">
        <f t="shared" si="5"/>
        <v>9.3432510885341089E-2</v>
      </c>
      <c r="M48">
        <f t="shared" si="6"/>
        <v>0.15470900306664689</v>
      </c>
      <c r="N48">
        <f t="shared" si="7"/>
        <v>7.7932722733251428E-2</v>
      </c>
      <c r="O48">
        <f t="shared" si="8"/>
        <v>0.25067935348339127</v>
      </c>
    </row>
    <row r="49" spans="1:15" x14ac:dyDescent="0.2">
      <c r="A49" t="s">
        <v>130</v>
      </c>
      <c r="B49">
        <f>MIN(1,Farm_UA_data!$H$4/Farm_EU_data!$AF$19)</f>
        <v>7.1665463071345539E-2</v>
      </c>
      <c r="C49">
        <f>MIN(1,Farm_UA_data!$H$5/Farm_EU_data!$AF$20)</f>
        <v>5.8880663844001334E-2</v>
      </c>
      <c r="D49">
        <f>MIN(1,Farm_UA_data!$H$6/Farm_EU_data!$AF$21)</f>
        <v>5.9329455108113521E-2</v>
      </c>
      <c r="E49">
        <f>MIN(1,Farm_UA_data!$H$7/Farm_EU_data!$AF$22)</f>
        <v>2.8292375813981061E-2</v>
      </c>
      <c r="F49">
        <f>MIN(1,Farm_UA_data!$H$8/Farm_EU_data!$AF$23)</f>
        <v>5.7925531719199258E-2</v>
      </c>
      <c r="G49">
        <f>MIN(1,Farm_UA_data!$H$9/Farm_EU_data!$AF$24)</f>
        <v>1.3314792884829531E-2</v>
      </c>
      <c r="H49">
        <f>MIN(1,Farm_UA_data!$H$10/Farm_EU_data!$AF$25)</f>
        <v>0.23541984595716126</v>
      </c>
      <c r="I49">
        <f>MIN(1,Farm_UA_data!$H$11/Farm_EU_data!$AF$26)</f>
        <v>8.6433250170530468E-2</v>
      </c>
      <c r="J49">
        <f>MIN(1,Farm_UA_data!$H$12/Farm_EU_data!$AF$27)</f>
        <v>0.1270112520422832</v>
      </c>
      <c r="K49">
        <f>MIN(1,Farm_UA_data!$H$13/Farm_EU_data!$AF$28)</f>
        <v>0.22777636221846459</v>
      </c>
      <c r="L49">
        <f t="shared" si="5"/>
        <v>7.1665463071345539E-2</v>
      </c>
      <c r="M49">
        <f t="shared" si="6"/>
        <v>9.9375947750951585E-2</v>
      </c>
      <c r="N49">
        <f t="shared" si="7"/>
        <v>4.3548563874024941E-2</v>
      </c>
      <c r="O49">
        <f t="shared" si="8"/>
        <v>0.16916017759710988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20"/>
  <sheetViews>
    <sheetView workbookViewId="0"/>
  </sheetViews>
  <sheetFormatPr baseColWidth="10" defaultColWidth="8.83203125" defaultRowHeight="15" x14ac:dyDescent="0.2"/>
  <sheetData>
    <row r="1" spans="1:40" ht="17" x14ac:dyDescent="0.2">
      <c r="A1" s="1" t="s">
        <v>132</v>
      </c>
    </row>
    <row r="3" spans="1:40" x14ac:dyDescent="0.2">
      <c r="A3" s="3" t="s">
        <v>133</v>
      </c>
      <c r="B3" s="3" t="s">
        <v>134</v>
      </c>
      <c r="C3" s="3" t="s">
        <v>36</v>
      </c>
      <c r="D3" s="3" t="s">
        <v>135</v>
      </c>
      <c r="E3" s="3" t="s">
        <v>136</v>
      </c>
      <c r="F3" s="3" t="s">
        <v>137</v>
      </c>
      <c r="G3" s="3" t="s">
        <v>38</v>
      </c>
      <c r="H3" s="3" t="s">
        <v>39</v>
      </c>
      <c r="I3" s="3" t="s">
        <v>40</v>
      </c>
      <c r="J3" s="3" t="s">
        <v>41</v>
      </c>
      <c r="K3" s="3" t="s">
        <v>42</v>
      </c>
      <c r="L3" s="3" t="s">
        <v>43</v>
      </c>
      <c r="M3" s="3" t="s">
        <v>44</v>
      </c>
      <c r="N3" s="3" t="s">
        <v>45</v>
      </c>
      <c r="O3" s="3" t="s">
        <v>46</v>
      </c>
      <c r="P3" s="3" t="s">
        <v>47</v>
      </c>
      <c r="Q3" s="3" t="s">
        <v>48</v>
      </c>
      <c r="R3" s="3" t="s">
        <v>49</v>
      </c>
      <c r="S3" s="3" t="s">
        <v>50</v>
      </c>
      <c r="T3" s="3" t="s">
        <v>51</v>
      </c>
      <c r="U3" s="3" t="s">
        <v>52</v>
      </c>
      <c r="V3" s="3" t="s">
        <v>53</v>
      </c>
      <c r="W3" s="3" t="s">
        <v>54</v>
      </c>
      <c r="X3" s="3" t="s">
        <v>55</v>
      </c>
      <c r="Y3" s="3" t="s">
        <v>56</v>
      </c>
      <c r="Z3" s="3" t="s">
        <v>57</v>
      </c>
      <c r="AA3" s="3" t="s">
        <v>58</v>
      </c>
      <c r="AB3" s="3" t="s">
        <v>59</v>
      </c>
      <c r="AC3" s="3" t="s">
        <v>60</v>
      </c>
      <c r="AD3" s="3" t="s">
        <v>61</v>
      </c>
      <c r="AE3" s="3" t="s">
        <v>62</v>
      </c>
      <c r="AF3" s="3" t="s">
        <v>63</v>
      </c>
      <c r="AG3" s="3" t="s">
        <v>64</v>
      </c>
      <c r="AH3" s="3" t="s">
        <v>65</v>
      </c>
      <c r="AI3" s="3" t="s">
        <v>130</v>
      </c>
      <c r="AJ3" s="3" t="s">
        <v>66</v>
      </c>
      <c r="AK3" s="3" t="s">
        <v>67</v>
      </c>
      <c r="AL3" s="3" t="s">
        <v>138</v>
      </c>
      <c r="AM3" s="3" t="s">
        <v>139</v>
      </c>
      <c r="AN3" s="3" t="s">
        <v>140</v>
      </c>
    </row>
    <row r="4" spans="1:40" x14ac:dyDescent="0.2">
      <c r="A4" t="s">
        <v>141</v>
      </c>
      <c r="B4" t="s">
        <v>142</v>
      </c>
      <c r="C4" t="s">
        <v>143</v>
      </c>
      <c r="D4" t="s">
        <v>144</v>
      </c>
      <c r="E4">
        <v>2025</v>
      </c>
      <c r="F4">
        <v>2025</v>
      </c>
      <c r="G4" s="5">
        <v>39.479999999999997</v>
      </c>
      <c r="I4" s="5">
        <v>20.79</v>
      </c>
      <c r="J4" s="5">
        <v>51.17</v>
      </c>
      <c r="K4" s="5">
        <v>48.16</v>
      </c>
      <c r="L4" s="5">
        <v>36.76</v>
      </c>
      <c r="N4" s="5">
        <v>37.229999999999997</v>
      </c>
      <c r="O4" s="5">
        <v>64.7</v>
      </c>
      <c r="P4" s="5">
        <v>66.42</v>
      </c>
      <c r="R4" s="5">
        <v>44.73</v>
      </c>
      <c r="S4" s="5">
        <v>16.52</v>
      </c>
      <c r="T4" s="5">
        <v>28.07</v>
      </c>
      <c r="U4" s="5">
        <v>40.950000000000003</v>
      </c>
      <c r="V4" s="5">
        <v>48.97</v>
      </c>
      <c r="W4" s="5">
        <v>59.21</v>
      </c>
      <c r="Y4" s="5">
        <v>45.3</v>
      </c>
      <c r="Z4" s="5">
        <v>51.12</v>
      </c>
      <c r="AA4" s="5">
        <v>56.49</v>
      </c>
      <c r="AB4" s="5">
        <v>37.18</v>
      </c>
      <c r="AD4" s="5">
        <v>21.02</v>
      </c>
      <c r="AE4" s="5">
        <v>28.82</v>
      </c>
      <c r="AF4" s="5">
        <v>23.51</v>
      </c>
      <c r="AG4" s="5">
        <v>21.08</v>
      </c>
      <c r="AH4" s="5">
        <v>45.06</v>
      </c>
      <c r="AI4" s="5">
        <v>20.399999999999999</v>
      </c>
      <c r="AJ4">
        <f t="shared" ref="AJ4:AJ20" si="0">MAX(G4:AG4)</f>
        <v>66.42</v>
      </c>
      <c r="AK4" t="str">
        <f t="shared" ref="AK4:AK20" si="1">INDEX($G$3:$AG$3,MATCH(AJ4,G4:AG4,0))</f>
        <v>ES</v>
      </c>
      <c r="AL4">
        <f t="shared" ref="AL4:AL20" si="2">MIN(G4:AG4)</f>
        <v>16.52</v>
      </c>
      <c r="AM4" t="s">
        <v>145</v>
      </c>
      <c r="AN4" t="s">
        <v>146</v>
      </c>
    </row>
    <row r="5" spans="1:40" x14ac:dyDescent="0.2">
      <c r="A5" t="s">
        <v>147</v>
      </c>
      <c r="B5" t="s">
        <v>142</v>
      </c>
      <c r="C5" t="s">
        <v>148</v>
      </c>
      <c r="D5" t="s">
        <v>149</v>
      </c>
      <c r="E5">
        <v>2021</v>
      </c>
      <c r="F5">
        <v>2022</v>
      </c>
      <c r="G5" s="5">
        <v>13.7</v>
      </c>
      <c r="I5" s="5">
        <v>5.36</v>
      </c>
      <c r="J5" s="5">
        <v>15.53</v>
      </c>
      <c r="K5" s="5">
        <v>15.03</v>
      </c>
      <c r="L5" s="5">
        <v>10.5</v>
      </c>
      <c r="M5" s="5">
        <v>4.82</v>
      </c>
      <c r="N5" s="5">
        <v>11.98</v>
      </c>
      <c r="O5" s="5">
        <v>5.78</v>
      </c>
      <c r="R5" s="5">
        <v>2.41</v>
      </c>
      <c r="S5" s="5">
        <v>3.9</v>
      </c>
      <c r="T5" s="5">
        <v>6.77</v>
      </c>
      <c r="U5" s="5">
        <v>11.38</v>
      </c>
      <c r="V5" s="5">
        <v>21.2</v>
      </c>
      <c r="W5" s="5">
        <v>13.88</v>
      </c>
      <c r="Y5" s="5">
        <v>14.43</v>
      </c>
      <c r="Z5" s="5">
        <v>16.37</v>
      </c>
      <c r="AA5" s="5">
        <v>9.17</v>
      </c>
      <c r="AB5" s="5">
        <v>6.4</v>
      </c>
      <c r="AC5" s="5">
        <v>2.2799999999999998</v>
      </c>
      <c r="AD5" s="5">
        <v>3.04</v>
      </c>
      <c r="AE5" s="5">
        <v>19.37</v>
      </c>
      <c r="AF5" s="5">
        <v>17.600000000000001</v>
      </c>
      <c r="AG5" s="5">
        <v>11.25</v>
      </c>
      <c r="AH5" s="5">
        <v>9.68</v>
      </c>
      <c r="AI5" s="5">
        <v>2.2000000000000002</v>
      </c>
      <c r="AJ5">
        <f t="shared" si="0"/>
        <v>21.2</v>
      </c>
      <c r="AK5" t="str">
        <f t="shared" si="1"/>
        <v>IT</v>
      </c>
      <c r="AL5">
        <f t="shared" si="2"/>
        <v>2.2799999999999998</v>
      </c>
      <c r="AM5" t="s">
        <v>150</v>
      </c>
      <c r="AN5" t="s">
        <v>146</v>
      </c>
    </row>
    <row r="6" spans="1:40" x14ac:dyDescent="0.2">
      <c r="A6" t="s">
        <v>151</v>
      </c>
      <c r="B6" t="s">
        <v>142</v>
      </c>
      <c r="C6" t="s">
        <v>152</v>
      </c>
      <c r="D6" t="s">
        <v>153</v>
      </c>
      <c r="E6">
        <v>2024</v>
      </c>
      <c r="F6">
        <v>2023</v>
      </c>
      <c r="G6" s="5">
        <v>16.940000000000001</v>
      </c>
      <c r="I6" s="5">
        <v>5.87</v>
      </c>
      <c r="J6" s="5">
        <v>23.67</v>
      </c>
      <c r="K6" s="5">
        <v>16.8</v>
      </c>
      <c r="L6" s="5">
        <v>25.81</v>
      </c>
      <c r="M6" s="5">
        <v>36.4</v>
      </c>
      <c r="N6" s="5">
        <v>40.14</v>
      </c>
      <c r="O6" s="5">
        <v>13.84</v>
      </c>
      <c r="P6" s="5">
        <v>30.13</v>
      </c>
      <c r="R6" s="5">
        <v>14.9</v>
      </c>
      <c r="S6" s="5">
        <v>9.32</v>
      </c>
      <c r="T6" s="5">
        <v>8.9499999999999993</v>
      </c>
      <c r="U6" s="5">
        <v>65.849999999999994</v>
      </c>
      <c r="V6" s="5">
        <v>30.27</v>
      </c>
      <c r="W6" s="5">
        <v>35.409999999999997</v>
      </c>
      <c r="Y6" s="5">
        <v>50.69</v>
      </c>
      <c r="Z6" s="5">
        <v>16.510000000000002</v>
      </c>
      <c r="AA6" s="5">
        <v>34.67</v>
      </c>
      <c r="AB6" s="5">
        <v>30.78</v>
      </c>
      <c r="AC6" s="5">
        <v>53.98</v>
      </c>
      <c r="AD6" s="5">
        <v>56.74</v>
      </c>
      <c r="AE6" s="5">
        <v>34.96</v>
      </c>
      <c r="AF6" s="5">
        <v>31.73</v>
      </c>
      <c r="AG6" s="5">
        <v>13.44</v>
      </c>
      <c r="AH6" s="5">
        <v>26.68</v>
      </c>
      <c r="AI6" s="5">
        <v>7.3</v>
      </c>
      <c r="AJ6">
        <f t="shared" si="0"/>
        <v>65.849999999999994</v>
      </c>
      <c r="AK6" t="str">
        <f t="shared" si="1"/>
        <v>IE</v>
      </c>
      <c r="AL6">
        <f t="shared" si="2"/>
        <v>5.87</v>
      </c>
      <c r="AM6" t="s">
        <v>154</v>
      </c>
      <c r="AN6" t="s">
        <v>146</v>
      </c>
    </row>
    <row r="7" spans="1:40" x14ac:dyDescent="0.2">
      <c r="A7" t="s">
        <v>155</v>
      </c>
      <c r="B7" t="s">
        <v>156</v>
      </c>
      <c r="C7" t="s">
        <v>157</v>
      </c>
      <c r="D7" t="s">
        <v>158</v>
      </c>
      <c r="E7">
        <v>2024</v>
      </c>
      <c r="F7">
        <v>2025</v>
      </c>
      <c r="G7" s="5">
        <v>11.97</v>
      </c>
      <c r="H7" s="5">
        <v>17.829999999999998</v>
      </c>
      <c r="I7" s="5">
        <v>2.11</v>
      </c>
      <c r="J7" s="5">
        <v>7.35</v>
      </c>
      <c r="K7" s="5">
        <v>7.5</v>
      </c>
      <c r="L7" s="5">
        <v>6.39</v>
      </c>
      <c r="M7" s="5">
        <v>13.25</v>
      </c>
      <c r="N7" s="5">
        <v>4.53</v>
      </c>
      <c r="O7" s="5">
        <v>6.84</v>
      </c>
      <c r="P7" s="5">
        <v>6.37</v>
      </c>
      <c r="R7" s="5">
        <v>3.13</v>
      </c>
      <c r="S7" s="5">
        <v>3.32</v>
      </c>
      <c r="T7" s="5">
        <v>5.78</v>
      </c>
      <c r="U7" s="5">
        <v>18.079999999999998</v>
      </c>
      <c r="V7" s="5">
        <v>6.21</v>
      </c>
      <c r="W7" s="5">
        <v>7.73</v>
      </c>
      <c r="Y7" s="5">
        <v>6.16</v>
      </c>
      <c r="Z7" s="5">
        <v>12.92</v>
      </c>
      <c r="AA7" s="5">
        <v>17.3</v>
      </c>
      <c r="AB7" s="5">
        <v>13.48</v>
      </c>
      <c r="AC7" s="5">
        <v>8.14</v>
      </c>
      <c r="AD7" s="5">
        <v>5.75</v>
      </c>
      <c r="AE7" s="5">
        <v>5.46</v>
      </c>
      <c r="AF7" s="5">
        <v>6.87</v>
      </c>
      <c r="AG7" s="5">
        <v>4.16</v>
      </c>
      <c r="AH7" s="5">
        <v>7.1</v>
      </c>
      <c r="AI7" s="5">
        <v>5</v>
      </c>
      <c r="AJ7">
        <f t="shared" si="0"/>
        <v>18.079999999999998</v>
      </c>
      <c r="AK7" t="str">
        <f t="shared" si="1"/>
        <v>IE</v>
      </c>
      <c r="AL7">
        <f t="shared" si="2"/>
        <v>2.11</v>
      </c>
      <c r="AM7" t="s">
        <v>159</v>
      </c>
      <c r="AN7" t="s">
        <v>146</v>
      </c>
    </row>
    <row r="8" spans="1:40" x14ac:dyDescent="0.2">
      <c r="A8" t="s">
        <v>160</v>
      </c>
      <c r="B8" t="s">
        <v>156</v>
      </c>
      <c r="C8" t="s">
        <v>157</v>
      </c>
      <c r="D8" t="s">
        <v>161</v>
      </c>
      <c r="E8">
        <v>2024</v>
      </c>
      <c r="F8">
        <v>2025</v>
      </c>
      <c r="G8" s="5">
        <v>11.14</v>
      </c>
      <c r="H8" s="5">
        <v>32.409999999999997</v>
      </c>
      <c r="I8" s="5">
        <v>3.31</v>
      </c>
      <c r="J8" s="5">
        <v>19.739999999999998</v>
      </c>
      <c r="K8" s="5">
        <v>15.92</v>
      </c>
      <c r="L8" s="5">
        <v>13.32</v>
      </c>
      <c r="M8" s="5">
        <v>19.46</v>
      </c>
      <c r="N8" s="5">
        <v>16.59</v>
      </c>
      <c r="O8" s="5">
        <v>8.35</v>
      </c>
      <c r="P8" s="5">
        <v>21.08</v>
      </c>
      <c r="R8" s="5">
        <v>7.03</v>
      </c>
      <c r="S8" s="5">
        <v>11.54</v>
      </c>
      <c r="T8" s="5">
        <v>9.2200000000000006</v>
      </c>
      <c r="U8" s="5">
        <v>33.89</v>
      </c>
      <c r="V8" s="5">
        <v>15.66</v>
      </c>
      <c r="W8" s="5">
        <v>11.97</v>
      </c>
      <c r="Y8" s="5">
        <v>6.63</v>
      </c>
      <c r="Z8" s="5">
        <v>23.69</v>
      </c>
      <c r="AA8" s="5">
        <v>23.72</v>
      </c>
      <c r="AB8" s="5">
        <v>17.329999999999998</v>
      </c>
      <c r="AC8" s="5">
        <v>26.75</v>
      </c>
      <c r="AD8" s="5">
        <v>5.59</v>
      </c>
      <c r="AE8" s="5">
        <v>18.39</v>
      </c>
      <c r="AF8" s="5">
        <v>19.77</v>
      </c>
      <c r="AG8" s="5">
        <v>8.1300000000000008</v>
      </c>
      <c r="AH8" s="5">
        <v>14.36</v>
      </c>
      <c r="AI8" s="5">
        <v>6.5</v>
      </c>
      <c r="AJ8">
        <f t="shared" si="0"/>
        <v>33.89</v>
      </c>
      <c r="AK8" t="str">
        <f t="shared" si="1"/>
        <v>IE</v>
      </c>
      <c r="AL8">
        <f t="shared" si="2"/>
        <v>3.31</v>
      </c>
      <c r="AM8" t="s">
        <v>159</v>
      </c>
      <c r="AN8" t="s">
        <v>146</v>
      </c>
    </row>
    <row r="9" spans="1:40" x14ac:dyDescent="0.2">
      <c r="A9" t="s">
        <v>162</v>
      </c>
      <c r="B9" t="s">
        <v>163</v>
      </c>
      <c r="C9" t="s">
        <v>164</v>
      </c>
      <c r="D9" t="s">
        <v>165</v>
      </c>
      <c r="E9">
        <v>2023</v>
      </c>
      <c r="F9">
        <v>2025</v>
      </c>
      <c r="G9" s="5">
        <v>25.73</v>
      </c>
      <c r="I9" s="5">
        <v>10.11</v>
      </c>
      <c r="J9" s="5">
        <v>8.77</v>
      </c>
      <c r="K9" s="5">
        <v>37.119999999999997</v>
      </c>
      <c r="L9" s="5">
        <v>26.65</v>
      </c>
      <c r="M9" s="5">
        <v>36.49</v>
      </c>
      <c r="N9" s="5">
        <v>32.43</v>
      </c>
      <c r="O9" s="5">
        <v>13.83</v>
      </c>
      <c r="R9" s="5">
        <v>19.350000000000001</v>
      </c>
      <c r="S9" s="5">
        <v>5.55</v>
      </c>
      <c r="U9" s="5">
        <v>35.869999999999997</v>
      </c>
      <c r="V9" s="5">
        <v>15.52</v>
      </c>
      <c r="W9" s="5">
        <v>27.11</v>
      </c>
      <c r="Y9" s="5">
        <v>20.34</v>
      </c>
      <c r="Z9" s="5">
        <v>13.18</v>
      </c>
      <c r="AA9" s="5">
        <v>37.450000000000003</v>
      </c>
      <c r="AB9" s="5">
        <v>23.63</v>
      </c>
      <c r="AC9" s="5">
        <v>20.25</v>
      </c>
      <c r="AD9" s="5">
        <v>9.7799999999999994</v>
      </c>
      <c r="AE9" s="5">
        <v>14.93</v>
      </c>
      <c r="AF9" s="5">
        <v>52.82</v>
      </c>
      <c r="AG9" s="5">
        <v>34.14</v>
      </c>
      <c r="AH9" s="5">
        <v>23.16</v>
      </c>
      <c r="AI9" s="5">
        <v>31.6</v>
      </c>
      <c r="AJ9">
        <f t="shared" si="0"/>
        <v>52.82</v>
      </c>
      <c r="AK9" t="str">
        <f t="shared" si="1"/>
        <v>SI</v>
      </c>
      <c r="AL9">
        <f t="shared" si="2"/>
        <v>5.55</v>
      </c>
      <c r="AM9" t="s">
        <v>166</v>
      </c>
      <c r="AN9" t="s">
        <v>146</v>
      </c>
    </row>
    <row r="10" spans="1:40" x14ac:dyDescent="0.2">
      <c r="A10" t="s">
        <v>167</v>
      </c>
      <c r="B10" t="s">
        <v>163</v>
      </c>
      <c r="C10" t="s">
        <v>168</v>
      </c>
      <c r="D10" t="s">
        <v>169</v>
      </c>
      <c r="E10">
        <v>2025</v>
      </c>
      <c r="F10">
        <v>2025</v>
      </c>
      <c r="G10" s="5">
        <v>19.32</v>
      </c>
      <c r="I10" s="5">
        <v>22.86</v>
      </c>
      <c r="J10" s="5">
        <v>47.21</v>
      </c>
      <c r="K10" s="5">
        <v>41.51</v>
      </c>
      <c r="L10" s="5">
        <v>33.79</v>
      </c>
      <c r="N10" s="5">
        <v>50.27</v>
      </c>
      <c r="O10" s="5">
        <v>36.33</v>
      </c>
      <c r="P10" s="5">
        <v>45.34</v>
      </c>
      <c r="R10" s="5">
        <v>31.46</v>
      </c>
      <c r="S10" s="5">
        <v>33.340000000000003</v>
      </c>
      <c r="T10" s="5">
        <v>42.83</v>
      </c>
      <c r="U10" s="5">
        <v>48.26</v>
      </c>
      <c r="V10" s="5">
        <v>50</v>
      </c>
      <c r="W10" s="5">
        <v>66.58</v>
      </c>
      <c r="Y10" s="5">
        <v>46.34</v>
      </c>
      <c r="Z10" s="5">
        <v>46.72</v>
      </c>
      <c r="AA10" s="5">
        <v>53.28</v>
      </c>
      <c r="AB10" s="5">
        <v>18.72</v>
      </c>
      <c r="AD10" s="5">
        <v>31.63</v>
      </c>
      <c r="AE10" s="5">
        <v>35.44</v>
      </c>
      <c r="AF10" s="5">
        <v>33.44</v>
      </c>
      <c r="AG10" s="5">
        <v>29.39</v>
      </c>
      <c r="AH10" s="5">
        <v>37.729999999999997</v>
      </c>
      <c r="AI10" s="5">
        <v>21.3</v>
      </c>
      <c r="AJ10">
        <f t="shared" si="0"/>
        <v>66.58</v>
      </c>
      <c r="AK10" t="str">
        <f t="shared" si="1"/>
        <v>LT</v>
      </c>
      <c r="AL10">
        <f t="shared" si="2"/>
        <v>18.72</v>
      </c>
      <c r="AM10" t="s">
        <v>170</v>
      </c>
      <c r="AN10" t="s">
        <v>146</v>
      </c>
    </row>
    <row r="11" spans="1:40" x14ac:dyDescent="0.2">
      <c r="A11" t="s">
        <v>171</v>
      </c>
      <c r="B11" t="s">
        <v>163</v>
      </c>
      <c r="C11" t="s">
        <v>148</v>
      </c>
      <c r="D11" t="s">
        <v>172</v>
      </c>
      <c r="E11">
        <v>2021</v>
      </c>
      <c r="F11">
        <v>2022</v>
      </c>
      <c r="I11" s="5">
        <v>15.28</v>
      </c>
      <c r="J11" s="5">
        <v>43.71</v>
      </c>
      <c r="K11" s="5">
        <v>34.29</v>
      </c>
      <c r="L11" s="5">
        <v>38.22</v>
      </c>
      <c r="M11" s="5">
        <v>24.38</v>
      </c>
      <c r="N11" s="5">
        <v>25.37</v>
      </c>
      <c r="O11" s="5">
        <v>23.44</v>
      </c>
      <c r="R11" s="5">
        <v>20.420000000000002</v>
      </c>
      <c r="S11" s="5">
        <v>22.37</v>
      </c>
      <c r="T11" s="5">
        <v>21.11</v>
      </c>
      <c r="U11" s="5">
        <v>40.67</v>
      </c>
      <c r="V11" s="5">
        <v>40.33</v>
      </c>
      <c r="W11" s="5">
        <v>37.799999999999997</v>
      </c>
      <c r="Y11" s="5">
        <v>30.05</v>
      </c>
      <c r="Z11" s="5">
        <v>34.880000000000003</v>
      </c>
      <c r="AA11" s="5">
        <v>29.12</v>
      </c>
      <c r="AB11" s="5">
        <v>15.84</v>
      </c>
      <c r="AC11" s="5">
        <v>16.760000000000002</v>
      </c>
      <c r="AD11" s="5">
        <v>10.11</v>
      </c>
      <c r="AE11" s="5">
        <v>49.89</v>
      </c>
      <c r="AF11" s="5">
        <v>46.66</v>
      </c>
      <c r="AG11" s="5">
        <v>35.54</v>
      </c>
      <c r="AH11" s="5">
        <v>29.43</v>
      </c>
      <c r="AI11" s="5">
        <v>9.4</v>
      </c>
      <c r="AJ11">
        <f t="shared" si="0"/>
        <v>49.89</v>
      </c>
      <c r="AK11" t="str">
        <f t="shared" si="1"/>
        <v>SE</v>
      </c>
      <c r="AL11">
        <f t="shared" si="2"/>
        <v>10.11</v>
      </c>
      <c r="AM11" t="s">
        <v>150</v>
      </c>
      <c r="AN11" t="s">
        <v>146</v>
      </c>
    </row>
    <row r="12" spans="1:40" x14ac:dyDescent="0.2">
      <c r="A12" t="s">
        <v>173</v>
      </c>
      <c r="B12" t="s">
        <v>174</v>
      </c>
      <c r="C12" t="s">
        <v>175</v>
      </c>
      <c r="D12" t="s">
        <v>176</v>
      </c>
      <c r="E12">
        <v>2024</v>
      </c>
      <c r="F12">
        <v>2023</v>
      </c>
      <c r="I12" s="5">
        <v>72.42</v>
      </c>
      <c r="J12" s="5">
        <v>87.13</v>
      </c>
      <c r="K12" s="5">
        <v>81.73</v>
      </c>
      <c r="L12" s="5">
        <v>86.34</v>
      </c>
      <c r="N12" s="5">
        <v>85.59</v>
      </c>
      <c r="O12" s="5">
        <v>64.55</v>
      </c>
      <c r="P12" s="5">
        <v>88.83</v>
      </c>
      <c r="R12" s="5">
        <v>79.459999999999994</v>
      </c>
      <c r="T12" s="5">
        <v>70.48</v>
      </c>
      <c r="U12" s="5">
        <v>89.95</v>
      </c>
      <c r="W12" s="5">
        <v>94.02</v>
      </c>
      <c r="Y12" s="5">
        <v>89.96</v>
      </c>
      <c r="Z12" s="5">
        <v>87.43</v>
      </c>
      <c r="AA12" s="5">
        <v>74.41</v>
      </c>
      <c r="AB12" s="5">
        <v>87.56</v>
      </c>
      <c r="AC12" s="5">
        <v>84.66</v>
      </c>
      <c r="AD12" s="5">
        <v>81.61</v>
      </c>
      <c r="AF12" s="5">
        <v>95.81</v>
      </c>
      <c r="AG12" s="5">
        <v>58.74</v>
      </c>
      <c r="AH12" s="5">
        <v>82.47</v>
      </c>
      <c r="AI12" s="5">
        <v>45.9</v>
      </c>
      <c r="AJ12">
        <f t="shared" si="0"/>
        <v>95.81</v>
      </c>
      <c r="AK12" t="str">
        <f t="shared" si="1"/>
        <v>SI</v>
      </c>
      <c r="AL12">
        <f t="shared" si="2"/>
        <v>58.74</v>
      </c>
      <c r="AM12" t="s">
        <v>177</v>
      </c>
      <c r="AN12" t="s">
        <v>146</v>
      </c>
    </row>
    <row r="13" spans="1:40" x14ac:dyDescent="0.2">
      <c r="A13" t="s">
        <v>178</v>
      </c>
      <c r="B13" t="s">
        <v>174</v>
      </c>
      <c r="C13" t="s">
        <v>179</v>
      </c>
      <c r="D13" t="s">
        <v>180</v>
      </c>
      <c r="E13">
        <v>2025</v>
      </c>
      <c r="F13">
        <v>2025</v>
      </c>
      <c r="G13" s="5">
        <v>45.99</v>
      </c>
      <c r="I13" s="5">
        <v>11.32</v>
      </c>
      <c r="J13" s="5">
        <v>47.05</v>
      </c>
      <c r="K13" s="5">
        <v>42.58</v>
      </c>
      <c r="L13" s="5">
        <v>39.130000000000003</v>
      </c>
      <c r="N13" s="5">
        <v>65.760000000000005</v>
      </c>
      <c r="O13" s="5">
        <v>21.58</v>
      </c>
      <c r="P13" s="5">
        <v>35.36</v>
      </c>
      <c r="R13" s="5">
        <v>25.15</v>
      </c>
      <c r="S13" s="5">
        <v>29.31</v>
      </c>
      <c r="T13" s="5">
        <v>33.93</v>
      </c>
      <c r="U13" s="5">
        <v>71.23</v>
      </c>
      <c r="V13" s="5">
        <v>67.77</v>
      </c>
      <c r="W13" s="5">
        <v>58.23</v>
      </c>
      <c r="Y13" s="5">
        <v>33.369999999999997</v>
      </c>
      <c r="Z13" s="5">
        <v>57.71</v>
      </c>
      <c r="AA13" s="5">
        <v>62.97</v>
      </c>
      <c r="AB13" s="5">
        <v>45.08</v>
      </c>
      <c r="AC13" s="5">
        <v>33.020000000000003</v>
      </c>
      <c r="AD13" s="5">
        <v>18.73</v>
      </c>
      <c r="AE13" s="5">
        <v>64.58</v>
      </c>
      <c r="AF13" s="5">
        <v>32.28</v>
      </c>
      <c r="AG13" s="5">
        <v>35.090000000000003</v>
      </c>
      <c r="AH13" s="5">
        <v>40.880000000000003</v>
      </c>
      <c r="AI13" s="5">
        <v>16.899999999999999</v>
      </c>
      <c r="AJ13">
        <f t="shared" si="0"/>
        <v>71.23</v>
      </c>
      <c r="AK13" t="str">
        <f t="shared" si="1"/>
        <v>IE</v>
      </c>
      <c r="AL13">
        <f t="shared" si="2"/>
        <v>11.32</v>
      </c>
      <c r="AM13" t="s">
        <v>181</v>
      </c>
      <c r="AN13" t="s">
        <v>146</v>
      </c>
    </row>
    <row r="14" spans="1:40" x14ac:dyDescent="0.2">
      <c r="A14" t="s">
        <v>182</v>
      </c>
      <c r="B14" t="s">
        <v>183</v>
      </c>
      <c r="C14" t="s">
        <v>184</v>
      </c>
      <c r="D14" t="s">
        <v>185</v>
      </c>
      <c r="E14">
        <v>2025</v>
      </c>
      <c r="F14">
        <v>2025</v>
      </c>
      <c r="G14" s="5">
        <v>45.69</v>
      </c>
      <c r="I14" s="5">
        <v>14.76</v>
      </c>
      <c r="J14" s="5">
        <v>24.96</v>
      </c>
      <c r="K14" s="5">
        <v>40.98</v>
      </c>
      <c r="L14" s="5">
        <v>33.04</v>
      </c>
      <c r="N14" s="5">
        <v>46.96</v>
      </c>
      <c r="O14" s="5">
        <v>14.51</v>
      </c>
      <c r="P14" s="5">
        <v>52.06</v>
      </c>
      <c r="R14" s="5">
        <v>33.28</v>
      </c>
      <c r="S14" s="5">
        <v>18.59</v>
      </c>
      <c r="T14" s="5">
        <v>26.74</v>
      </c>
      <c r="U14" s="5">
        <v>60.76</v>
      </c>
      <c r="V14" s="5">
        <v>29.37</v>
      </c>
      <c r="W14" s="5">
        <v>60.44</v>
      </c>
      <c r="Y14" s="5">
        <v>41.87</v>
      </c>
      <c r="Z14" s="5">
        <v>31.23</v>
      </c>
      <c r="AA14" s="5">
        <v>62.2</v>
      </c>
      <c r="AB14" s="5">
        <v>19.190000000000001</v>
      </c>
      <c r="AD14" s="5">
        <v>21.05</v>
      </c>
      <c r="AE14" s="5">
        <v>50.49</v>
      </c>
      <c r="AF14" s="5">
        <v>37.9</v>
      </c>
      <c r="AG14" s="5">
        <v>42.72</v>
      </c>
      <c r="AH14" s="5">
        <v>34.159999999999997</v>
      </c>
      <c r="AI14" s="5">
        <v>16.8</v>
      </c>
      <c r="AJ14">
        <f t="shared" si="0"/>
        <v>62.2</v>
      </c>
      <c r="AK14" t="str">
        <f t="shared" si="1"/>
        <v>NL</v>
      </c>
      <c r="AL14">
        <f t="shared" si="2"/>
        <v>14.51</v>
      </c>
      <c r="AM14" t="s">
        <v>186</v>
      </c>
      <c r="AN14" t="s">
        <v>146</v>
      </c>
    </row>
    <row r="15" spans="1:40" x14ac:dyDescent="0.2">
      <c r="A15" t="s">
        <v>187</v>
      </c>
      <c r="B15" t="s">
        <v>183</v>
      </c>
      <c r="C15" t="s">
        <v>188</v>
      </c>
      <c r="D15" t="s">
        <v>189</v>
      </c>
      <c r="E15">
        <v>2025</v>
      </c>
      <c r="F15">
        <v>2025</v>
      </c>
      <c r="G15" s="5">
        <v>82.38</v>
      </c>
      <c r="I15" s="5">
        <v>45.61</v>
      </c>
      <c r="J15" s="5">
        <v>60.54</v>
      </c>
      <c r="K15" s="5">
        <v>79.11</v>
      </c>
      <c r="L15" s="5">
        <v>87.9</v>
      </c>
      <c r="M15" s="5">
        <v>97.47</v>
      </c>
      <c r="N15" s="5">
        <v>69.47</v>
      </c>
      <c r="O15" s="5">
        <v>62.49</v>
      </c>
      <c r="P15" s="5">
        <v>85.84</v>
      </c>
      <c r="R15" s="5">
        <v>57.94</v>
      </c>
      <c r="S15" s="5">
        <v>37.97</v>
      </c>
      <c r="T15" s="5">
        <v>58.88</v>
      </c>
      <c r="U15" s="5">
        <v>82.14</v>
      </c>
      <c r="V15" s="5">
        <v>77.489999999999995</v>
      </c>
      <c r="W15" s="5">
        <v>81.569999999999993</v>
      </c>
      <c r="Y15" s="5">
        <v>67.790000000000006</v>
      </c>
      <c r="Z15" s="5">
        <v>73.75</v>
      </c>
      <c r="AA15" s="5">
        <v>90.77</v>
      </c>
      <c r="AB15" s="5">
        <v>57.15</v>
      </c>
      <c r="AD15" s="5">
        <v>50.19</v>
      </c>
      <c r="AE15" s="5">
        <v>91.5</v>
      </c>
      <c r="AF15" s="5">
        <v>82.94</v>
      </c>
      <c r="AG15" s="5">
        <v>72.42</v>
      </c>
      <c r="AH15" s="5">
        <v>71.83</v>
      </c>
      <c r="AI15" s="5">
        <v>43</v>
      </c>
      <c r="AJ15">
        <f t="shared" si="0"/>
        <v>97.47</v>
      </c>
      <c r="AK15" t="str">
        <f t="shared" si="1"/>
        <v>DK</v>
      </c>
      <c r="AL15">
        <f t="shared" si="2"/>
        <v>37.97</v>
      </c>
      <c r="AM15" t="s">
        <v>190</v>
      </c>
      <c r="AN15" t="s">
        <v>146</v>
      </c>
    </row>
    <row r="16" spans="1:40" x14ac:dyDescent="0.2">
      <c r="A16" t="s">
        <v>191</v>
      </c>
      <c r="B16" t="s">
        <v>183</v>
      </c>
      <c r="C16" t="s">
        <v>143</v>
      </c>
      <c r="D16" t="s">
        <v>192</v>
      </c>
      <c r="E16">
        <v>2025</v>
      </c>
      <c r="F16">
        <v>2025</v>
      </c>
      <c r="G16" s="5">
        <v>22.4</v>
      </c>
      <c r="I16" s="5">
        <v>6.67</v>
      </c>
      <c r="J16" s="5">
        <v>23.56</v>
      </c>
      <c r="K16" s="5">
        <v>30.18</v>
      </c>
      <c r="L16" s="5">
        <v>15.17</v>
      </c>
      <c r="M16" s="5">
        <v>18.309999999999999</v>
      </c>
      <c r="N16" s="5">
        <v>11.41</v>
      </c>
      <c r="O16" s="5">
        <v>12.65</v>
      </c>
      <c r="P16" s="5">
        <v>27.11</v>
      </c>
      <c r="R16" s="5">
        <v>15.77</v>
      </c>
      <c r="S16" s="5">
        <v>8.5500000000000007</v>
      </c>
      <c r="T16" s="5">
        <v>12.58</v>
      </c>
      <c r="U16" s="5">
        <v>17.329999999999998</v>
      </c>
      <c r="V16" s="5">
        <v>14.78</v>
      </c>
      <c r="W16" s="5">
        <v>26.04</v>
      </c>
      <c r="Y16" s="5">
        <v>13.14</v>
      </c>
      <c r="Z16" s="5">
        <v>26.29</v>
      </c>
      <c r="AA16" s="5">
        <v>31.25</v>
      </c>
      <c r="AB16" s="5">
        <v>21.14</v>
      </c>
      <c r="AC16" s="5">
        <v>16.850000000000001</v>
      </c>
      <c r="AD16" s="5">
        <v>8.7799999999999994</v>
      </c>
      <c r="AE16" s="5">
        <v>18</v>
      </c>
      <c r="AF16" s="5">
        <v>11.61</v>
      </c>
      <c r="AG16" s="5">
        <v>13.71</v>
      </c>
      <c r="AH16" s="5">
        <v>17.989999999999998</v>
      </c>
      <c r="AI16" s="5">
        <v>6.9</v>
      </c>
      <c r="AJ16">
        <f t="shared" si="0"/>
        <v>31.25</v>
      </c>
      <c r="AK16" t="str">
        <f t="shared" si="1"/>
        <v>NL</v>
      </c>
      <c r="AL16">
        <f t="shared" si="2"/>
        <v>6.67</v>
      </c>
      <c r="AM16" t="s">
        <v>145</v>
      </c>
      <c r="AN16" t="s">
        <v>146</v>
      </c>
    </row>
    <row r="17" spans="1:40" x14ac:dyDescent="0.2">
      <c r="A17" t="s">
        <v>193</v>
      </c>
      <c r="B17" t="s">
        <v>194</v>
      </c>
      <c r="C17" t="s">
        <v>164</v>
      </c>
      <c r="D17" t="s">
        <v>195</v>
      </c>
      <c r="E17">
        <v>2023</v>
      </c>
      <c r="F17">
        <v>2025</v>
      </c>
      <c r="G17" s="5">
        <v>29.09</v>
      </c>
      <c r="I17" s="5">
        <v>19.93</v>
      </c>
      <c r="J17" s="5">
        <v>19.54</v>
      </c>
      <c r="K17" s="5">
        <v>35.18</v>
      </c>
      <c r="L17" s="5">
        <v>25.93</v>
      </c>
      <c r="M17" s="5">
        <v>59.51</v>
      </c>
      <c r="N17" s="5">
        <v>78.38</v>
      </c>
      <c r="O17" s="5">
        <v>17.63</v>
      </c>
      <c r="R17" s="5">
        <v>32.020000000000003</v>
      </c>
      <c r="S17" s="5">
        <v>55.17</v>
      </c>
      <c r="T17" s="5">
        <v>31.7</v>
      </c>
      <c r="U17" s="5">
        <v>55.41</v>
      </c>
      <c r="V17" s="5">
        <v>97.92</v>
      </c>
      <c r="W17" s="5">
        <v>43.99</v>
      </c>
      <c r="Y17" s="5">
        <v>38.200000000000003</v>
      </c>
      <c r="Z17" s="5">
        <v>24.71</v>
      </c>
      <c r="AA17" s="5">
        <v>41.55</v>
      </c>
      <c r="AB17" s="5">
        <v>16.13</v>
      </c>
      <c r="AC17" s="5">
        <v>27.08</v>
      </c>
      <c r="AD17" s="5">
        <v>43.09</v>
      </c>
      <c r="AE17" s="5">
        <v>62.26</v>
      </c>
      <c r="AF17" s="5">
        <v>60.58</v>
      </c>
      <c r="AG17" s="5">
        <v>37.93</v>
      </c>
      <c r="AH17" s="5">
        <v>41.5</v>
      </c>
      <c r="AI17" s="5">
        <v>37.799999999999997</v>
      </c>
      <c r="AJ17">
        <f t="shared" si="0"/>
        <v>97.92</v>
      </c>
      <c r="AK17" t="str">
        <f t="shared" si="1"/>
        <v>IT</v>
      </c>
      <c r="AL17">
        <f t="shared" si="2"/>
        <v>16.13</v>
      </c>
      <c r="AM17" t="s">
        <v>166</v>
      </c>
      <c r="AN17" t="s">
        <v>146</v>
      </c>
    </row>
    <row r="18" spans="1:40" x14ac:dyDescent="0.2">
      <c r="A18" t="s">
        <v>196</v>
      </c>
      <c r="B18" t="s">
        <v>194</v>
      </c>
      <c r="C18" t="s">
        <v>143</v>
      </c>
      <c r="D18" t="s">
        <v>197</v>
      </c>
      <c r="E18">
        <v>2025</v>
      </c>
      <c r="F18">
        <v>2025</v>
      </c>
      <c r="G18" s="5">
        <v>14.79</v>
      </c>
      <c r="I18" s="5">
        <v>6.17</v>
      </c>
      <c r="J18" s="5">
        <v>23.24</v>
      </c>
      <c r="K18" s="5">
        <v>13.49</v>
      </c>
      <c r="L18" s="5">
        <v>11.64</v>
      </c>
      <c r="M18" s="5">
        <v>30.85</v>
      </c>
      <c r="N18" s="5">
        <v>18.329999999999998</v>
      </c>
      <c r="O18" s="5">
        <v>12.22</v>
      </c>
      <c r="P18" s="5">
        <v>21.96</v>
      </c>
      <c r="R18" s="5">
        <v>11.01</v>
      </c>
      <c r="S18" s="5">
        <v>7.58</v>
      </c>
      <c r="T18" s="5">
        <v>5.99</v>
      </c>
      <c r="U18" s="5">
        <v>27.85</v>
      </c>
      <c r="V18" s="5">
        <v>22.03</v>
      </c>
      <c r="W18" s="5">
        <v>30.71</v>
      </c>
      <c r="Y18" s="5">
        <v>17.96</v>
      </c>
      <c r="Z18" s="5">
        <v>19.22</v>
      </c>
      <c r="AA18" s="5">
        <v>34.799999999999997</v>
      </c>
      <c r="AB18" s="5">
        <v>9.9600000000000009</v>
      </c>
      <c r="AC18" s="5">
        <v>8.3800000000000008</v>
      </c>
      <c r="AD18" s="5">
        <v>5.93</v>
      </c>
      <c r="AE18" s="5">
        <v>20.5</v>
      </c>
      <c r="AF18" s="5">
        <v>17.22</v>
      </c>
      <c r="AG18" s="5">
        <v>5.0999999999999996</v>
      </c>
      <c r="AH18" s="5">
        <v>15.22</v>
      </c>
      <c r="AI18" s="5">
        <v>6.6</v>
      </c>
      <c r="AJ18">
        <f t="shared" si="0"/>
        <v>34.799999999999997</v>
      </c>
      <c r="AK18" t="str">
        <f t="shared" si="1"/>
        <v>NL</v>
      </c>
      <c r="AL18">
        <f t="shared" si="2"/>
        <v>5.0999999999999996</v>
      </c>
      <c r="AM18" t="s">
        <v>145</v>
      </c>
      <c r="AN18" t="s">
        <v>146</v>
      </c>
    </row>
    <row r="19" spans="1:40" x14ac:dyDescent="0.2">
      <c r="A19" t="s">
        <v>198</v>
      </c>
      <c r="B19" t="s">
        <v>199</v>
      </c>
      <c r="C19" t="s">
        <v>200</v>
      </c>
      <c r="D19" t="s">
        <v>201</v>
      </c>
      <c r="E19">
        <v>2025</v>
      </c>
      <c r="F19">
        <v>2025</v>
      </c>
      <c r="G19" s="5">
        <v>22.65</v>
      </c>
      <c r="I19" s="5">
        <v>4.72</v>
      </c>
      <c r="J19" s="5">
        <v>3.61</v>
      </c>
      <c r="K19" s="5">
        <v>10.78</v>
      </c>
      <c r="L19" s="5">
        <v>15.1</v>
      </c>
      <c r="M19" s="5">
        <v>26.48</v>
      </c>
      <c r="N19" s="5">
        <v>16.43</v>
      </c>
      <c r="O19" s="5">
        <v>3.84</v>
      </c>
      <c r="P19" s="5">
        <v>14.63</v>
      </c>
      <c r="R19" s="5">
        <v>10.75</v>
      </c>
      <c r="S19" s="5">
        <v>7.27</v>
      </c>
      <c r="T19" s="5">
        <v>6.05</v>
      </c>
      <c r="U19" s="5">
        <v>22.66</v>
      </c>
      <c r="V19" s="5">
        <v>15.32</v>
      </c>
      <c r="W19" s="5">
        <v>16.22</v>
      </c>
      <c r="Y19" s="5">
        <v>11.8</v>
      </c>
      <c r="Z19" s="5">
        <v>7.95</v>
      </c>
      <c r="AA19" s="5">
        <v>22.61</v>
      </c>
      <c r="AB19" s="5">
        <v>5.01</v>
      </c>
      <c r="AC19" s="5">
        <v>6.79</v>
      </c>
      <c r="AD19" s="5">
        <v>2.0499999999999998</v>
      </c>
      <c r="AE19" s="5">
        <v>21.39</v>
      </c>
      <c r="AF19" s="5">
        <v>17.54</v>
      </c>
      <c r="AG19" s="5">
        <v>10.32</v>
      </c>
      <c r="AH19" s="5">
        <v>12.47</v>
      </c>
      <c r="AI19" s="5">
        <v>5</v>
      </c>
      <c r="AJ19">
        <f t="shared" si="0"/>
        <v>26.48</v>
      </c>
      <c r="AK19" t="str">
        <f t="shared" si="1"/>
        <v>DK</v>
      </c>
      <c r="AL19">
        <f t="shared" si="2"/>
        <v>2.0499999999999998</v>
      </c>
      <c r="AM19" t="s">
        <v>202</v>
      </c>
      <c r="AN19" t="s">
        <v>146</v>
      </c>
    </row>
    <row r="20" spans="1:40" x14ac:dyDescent="0.2">
      <c r="A20" t="s">
        <v>203</v>
      </c>
      <c r="B20" t="s">
        <v>199</v>
      </c>
      <c r="C20" t="s">
        <v>204</v>
      </c>
      <c r="D20" t="s">
        <v>205</v>
      </c>
      <c r="E20">
        <v>2025</v>
      </c>
      <c r="F20">
        <v>2025</v>
      </c>
      <c r="G20" s="5">
        <v>63.77</v>
      </c>
      <c r="I20" s="5">
        <v>28.38</v>
      </c>
      <c r="J20" s="5">
        <v>71.739999999999995</v>
      </c>
      <c r="K20" s="5">
        <v>66.150000000000006</v>
      </c>
      <c r="L20" s="5">
        <v>62.56</v>
      </c>
      <c r="M20" s="5">
        <v>91.19</v>
      </c>
      <c r="N20" s="5">
        <v>71.48</v>
      </c>
      <c r="O20" s="5">
        <v>56.24</v>
      </c>
      <c r="P20" s="5">
        <v>73.069999999999993</v>
      </c>
      <c r="Q20" s="5">
        <v>96.43</v>
      </c>
      <c r="R20" s="5">
        <v>49.63</v>
      </c>
      <c r="S20" s="5">
        <v>35.65</v>
      </c>
      <c r="T20" s="5">
        <v>50.96</v>
      </c>
      <c r="U20" s="5">
        <v>78.91</v>
      </c>
      <c r="V20" s="5">
        <v>73.41</v>
      </c>
      <c r="W20" s="5">
        <v>79.849999999999994</v>
      </c>
      <c r="Y20" s="5">
        <v>64.05</v>
      </c>
      <c r="Z20" s="5">
        <v>71.069999999999993</v>
      </c>
      <c r="AA20" s="5">
        <v>91.18</v>
      </c>
      <c r="AB20" s="5">
        <v>49.72</v>
      </c>
      <c r="AD20" s="5">
        <v>34.71</v>
      </c>
      <c r="AE20" s="5">
        <v>81.209999999999994</v>
      </c>
      <c r="AF20" s="5">
        <v>49.24</v>
      </c>
      <c r="AG20" s="5">
        <v>53.3</v>
      </c>
      <c r="AH20" s="5">
        <v>60.91</v>
      </c>
      <c r="AI20" s="5">
        <v>27.8</v>
      </c>
      <c r="AJ20">
        <f t="shared" si="0"/>
        <v>96.43</v>
      </c>
      <c r="AK20" t="str">
        <f t="shared" si="1"/>
        <v>FI</v>
      </c>
      <c r="AL20">
        <f t="shared" si="2"/>
        <v>28.38</v>
      </c>
      <c r="AM20" t="s">
        <v>206</v>
      </c>
      <c r="AN20" t="s">
        <v>146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5"/>
  <sheetViews>
    <sheetView workbookViewId="0"/>
  </sheetViews>
  <sheetFormatPr baseColWidth="10" defaultColWidth="8.83203125" defaultRowHeight="15" x14ac:dyDescent="0.2"/>
  <sheetData>
    <row r="1" spans="1:32" ht="17" x14ac:dyDescent="0.2">
      <c r="A1" s="1" t="s">
        <v>207</v>
      </c>
    </row>
    <row r="3" spans="1:32" x14ac:dyDescent="0.2">
      <c r="A3" s="3" t="s">
        <v>125</v>
      </c>
      <c r="B3" s="3" t="s">
        <v>141</v>
      </c>
      <c r="C3" s="3" t="s">
        <v>147</v>
      </c>
      <c r="D3" s="3" t="s">
        <v>151</v>
      </c>
      <c r="E3" s="3" t="s">
        <v>155</v>
      </c>
      <c r="F3" s="3" t="s">
        <v>160</v>
      </c>
      <c r="G3" s="3" t="s">
        <v>162</v>
      </c>
      <c r="H3" s="3" t="s">
        <v>167</v>
      </c>
      <c r="I3" s="3" t="s">
        <v>171</v>
      </c>
      <c r="J3" s="3" t="s">
        <v>173</v>
      </c>
      <c r="K3" s="3" t="s">
        <v>178</v>
      </c>
      <c r="L3" s="3" t="s">
        <v>182</v>
      </c>
      <c r="M3" s="3" t="s">
        <v>187</v>
      </c>
      <c r="N3" s="3" t="s">
        <v>191</v>
      </c>
      <c r="O3" s="3" t="s">
        <v>193</v>
      </c>
      <c r="P3" s="3" t="s">
        <v>196</v>
      </c>
      <c r="Q3" s="3" t="s">
        <v>198</v>
      </c>
      <c r="R3" s="3" t="s">
        <v>203</v>
      </c>
      <c r="S3" s="3" t="s">
        <v>142</v>
      </c>
      <c r="T3" s="3" t="s">
        <v>156</v>
      </c>
      <c r="U3" s="3" t="s">
        <v>163</v>
      </c>
      <c r="V3" s="3" t="s">
        <v>174</v>
      </c>
      <c r="W3" s="3" t="s">
        <v>183</v>
      </c>
      <c r="X3" s="3" t="s">
        <v>194</v>
      </c>
      <c r="Y3" s="3" t="s">
        <v>199</v>
      </c>
      <c r="Z3" s="3" t="s">
        <v>208</v>
      </c>
      <c r="AA3" s="3" t="s">
        <v>209</v>
      </c>
      <c r="AB3" s="3" t="s">
        <v>210</v>
      </c>
      <c r="AC3" s="3" t="s">
        <v>211</v>
      </c>
      <c r="AD3" s="3" t="s">
        <v>212</v>
      </c>
      <c r="AE3" s="3" t="s">
        <v>213</v>
      </c>
      <c r="AF3" s="3" t="s">
        <v>214</v>
      </c>
    </row>
    <row r="4" spans="1:32" x14ac:dyDescent="0.2">
      <c r="A4" t="s">
        <v>65</v>
      </c>
      <c r="B4">
        <f>IF(Processing_data!$AH$4="","",Processing_data!$AH$4/Processing_data!$AJ$4)</f>
        <v>0.67841011743450774</v>
      </c>
      <c r="C4">
        <f>IF(Processing_data!$AH$5="","",Processing_data!$AH$5/Processing_data!$AJ$5)</f>
        <v>0.45660377358490567</v>
      </c>
      <c r="D4">
        <f>IF(Processing_data!$AH$6="","",Processing_data!$AH$6/Processing_data!$AJ$6)</f>
        <v>0.40516324981017465</v>
      </c>
      <c r="E4">
        <f>IF(Processing_data!$AH$7="","",Processing_data!$AH$7/Processing_data!$AJ$7)</f>
        <v>0.39269911504424782</v>
      </c>
      <c r="F4">
        <f>IF(Processing_data!$AH$8="","",Processing_data!$AH$8/Processing_data!$AJ$8)</f>
        <v>0.42372381233402179</v>
      </c>
      <c r="G4">
        <f>IF(Processing_data!$AH$9="","",Processing_data!$AH$9/Processing_data!$AJ$9)</f>
        <v>0.43847027641045061</v>
      </c>
      <c r="H4">
        <f>IF(Processing_data!$AH$10="","",Processing_data!$AH$10/Processing_data!$AJ$10)</f>
        <v>0.56668669270051064</v>
      </c>
      <c r="I4">
        <f>IF(Processing_data!$AH$11="","",Processing_data!$AH$11/Processing_data!$AJ$11)</f>
        <v>0.58989777510523145</v>
      </c>
      <c r="J4">
        <f>IF(Processing_data!$AH$12="","",Processing_data!$AH$12/Processing_data!$AJ$12)</f>
        <v>0.86076609957206973</v>
      </c>
      <c r="K4">
        <f>IF(Processing_data!$AH$13="","",Processing_data!$AH$13/Processing_data!$AJ$13)</f>
        <v>0.5739154850484347</v>
      </c>
      <c r="L4">
        <f>IF(Processing_data!$AH$14="","",Processing_data!$AH$14/Processing_data!$AJ$14)</f>
        <v>0.54919614147909956</v>
      </c>
      <c r="M4">
        <f>IF(Processing_data!$AH$15="","",Processing_data!$AH$15/Processing_data!$AJ$15)</f>
        <v>0.73694470093362063</v>
      </c>
      <c r="N4">
        <f>IF(Processing_data!$AH$16="","",Processing_data!$AH$16/Processing_data!$AJ$16)</f>
        <v>0.57567999999999997</v>
      </c>
      <c r="O4">
        <f>IF(Processing_data!$AH$17="","",Processing_data!$AH$17/Processing_data!$AJ$17)</f>
        <v>0.42381535947712418</v>
      </c>
      <c r="P4">
        <f>IF(Processing_data!$AH$18="","",Processing_data!$AH$18/Processing_data!$AJ$18)</f>
        <v>0.43735632183908052</v>
      </c>
      <c r="Q4">
        <f>IF(Processing_data!$AH$19="","",Processing_data!$AH$19/Processing_data!$AJ$19)</f>
        <v>0.47092145015105741</v>
      </c>
      <c r="R4">
        <f>IF(Processing_data!$AH$20="","",Processing_data!$AH$20/Processing_data!$AJ$20)</f>
        <v>0.63164990148294087</v>
      </c>
      <c r="S4">
        <f t="shared" ref="S4:S15" si="0">AVERAGE(B4:D4)</f>
        <v>0.51339238027652934</v>
      </c>
      <c r="T4">
        <f t="shared" ref="T4:T15" si="1">AVERAGE(E4:F4)</f>
        <v>0.4082114636891348</v>
      </c>
      <c r="U4">
        <f t="shared" ref="U4:U15" si="2">AVERAGE(G4:I4)</f>
        <v>0.53168491473873092</v>
      </c>
      <c r="V4">
        <f t="shared" ref="V4:V15" si="3">AVERAGE(J4:K4)</f>
        <v>0.71734079231025216</v>
      </c>
      <c r="W4">
        <f t="shared" ref="W4:W15" si="4">AVERAGE(L4:N4)</f>
        <v>0.62060694747090672</v>
      </c>
      <c r="X4">
        <f t="shared" ref="X4:X15" si="5">AVERAGE(O4:P4)</f>
        <v>0.43058584065810235</v>
      </c>
      <c r="Y4">
        <f t="shared" ref="Y4:Y15" si="6">AVERAGE(Q4:R4)</f>
        <v>0.55128567581699917</v>
      </c>
      <c r="Z4">
        <f t="shared" ref="Z4:Z15" si="7">AVERAGE(S4:W4)</f>
        <v>0.55824729969711073</v>
      </c>
      <c r="AA4">
        <f t="shared" ref="AA4:AA15" si="8">MIN(S4:W4)</f>
        <v>0.4082114636891348</v>
      </c>
      <c r="AB4" t="str">
        <f t="shared" ref="AB4:AB15" si="9">INDEX($S$3:$W$3,MATCH(AA4,S4:W4,0))</f>
        <v>L1</v>
      </c>
      <c r="AC4">
        <f t="shared" ref="AC4:AC15" si="10">1-alpha*MAX(0,delta-AA4)</f>
        <v>1</v>
      </c>
      <c r="AD4">
        <f t="shared" ref="AD4:AD15" si="11">Z4*AC4</f>
        <v>0.55824729969711073</v>
      </c>
      <c r="AE4">
        <f t="shared" ref="AE4:AE15" si="12">1+COUNTIF(bounds,"&lt;"&amp;ROUND(AD4,12))</f>
        <v>3</v>
      </c>
    </row>
    <row r="5" spans="1:32" x14ac:dyDescent="0.2">
      <c r="A5" t="s">
        <v>43</v>
      </c>
      <c r="B5">
        <f>IF(Processing_data!$L$4="","",Processing_data!$L$4/Processing_data!$AJ$4)</f>
        <v>0.55344775669978918</v>
      </c>
      <c r="C5">
        <f>IF(Processing_data!$L$5="","",Processing_data!$L$5/Processing_data!$AJ$5)</f>
        <v>0.49528301886792453</v>
      </c>
      <c r="D5">
        <f>IF(Processing_data!$L$6="","",Processing_data!$L$6/Processing_data!$AJ$6)</f>
        <v>0.39195140470766898</v>
      </c>
      <c r="E5">
        <f>IF(Processing_data!$L$7="","",Processing_data!$L$7/Processing_data!$AJ$7)</f>
        <v>0.35342920353982304</v>
      </c>
      <c r="F5">
        <f>IF(Processing_data!$L$8="","",Processing_data!$L$8/Processing_data!$AJ$8)</f>
        <v>0.39303629389200356</v>
      </c>
      <c r="G5">
        <f>IF(Processing_data!$L$9="","",Processing_data!$L$9/Processing_data!$AJ$9)</f>
        <v>0.50454373343430514</v>
      </c>
      <c r="H5">
        <f>IF(Processing_data!$L$10="","",Processing_data!$L$10/Processing_data!$AJ$10)</f>
        <v>0.50750976269149894</v>
      </c>
      <c r="I5">
        <f>IF(Processing_data!$L$11="","",Processing_data!$L$11/Processing_data!$AJ$11)</f>
        <v>0.76608538785327718</v>
      </c>
      <c r="J5">
        <f>IF(Processing_data!$L$12="","",Processing_data!$L$12/Processing_data!$AJ$12)</f>
        <v>0.90115854294958775</v>
      </c>
      <c r="K5">
        <f>IF(Processing_data!$L$13="","",Processing_data!$L$13/Processing_data!$AJ$13)</f>
        <v>0.54934718517478587</v>
      </c>
      <c r="L5">
        <f>IF(Processing_data!$L$14="","",Processing_data!$L$14/Processing_data!$AJ$14)</f>
        <v>0.53118971061093245</v>
      </c>
      <c r="M5">
        <f>IF(Processing_data!$L$15="","",Processing_data!$L$15/Processing_data!$AJ$15)</f>
        <v>0.90181594336718995</v>
      </c>
      <c r="N5">
        <f>IF(Processing_data!$L$16="","",Processing_data!$L$16/Processing_data!$AJ$16)</f>
        <v>0.48543999999999998</v>
      </c>
      <c r="O5">
        <f>IF(Processing_data!$L$17="","",Processing_data!$L$17/Processing_data!$AJ$17)</f>
        <v>0.26480800653594772</v>
      </c>
      <c r="P5">
        <f>IF(Processing_data!$L$18="","",Processing_data!$L$18/Processing_data!$AJ$18)</f>
        <v>0.33448275862068971</v>
      </c>
      <c r="Q5">
        <f>IF(Processing_data!$L$19="","",Processing_data!$L$19/Processing_data!$AJ$19)</f>
        <v>0.5702416918429003</v>
      </c>
      <c r="R5">
        <f>IF(Processing_data!$L$20="","",Processing_data!$L$20/Processing_data!$AJ$20)</f>
        <v>0.64876075909986519</v>
      </c>
      <c r="S5">
        <f t="shared" si="0"/>
        <v>0.4802273934251276</v>
      </c>
      <c r="T5">
        <f t="shared" si="1"/>
        <v>0.37323274871591328</v>
      </c>
      <c r="U5">
        <f t="shared" si="2"/>
        <v>0.59271296132636042</v>
      </c>
      <c r="V5">
        <f t="shared" si="3"/>
        <v>0.72525286406218681</v>
      </c>
      <c r="W5">
        <f t="shared" si="4"/>
        <v>0.63948188465937417</v>
      </c>
      <c r="X5">
        <f t="shared" si="5"/>
        <v>0.29964538257831874</v>
      </c>
      <c r="Y5">
        <f t="shared" si="6"/>
        <v>0.60950122547138275</v>
      </c>
      <c r="Z5">
        <f t="shared" si="7"/>
        <v>0.56218157043779249</v>
      </c>
      <c r="AA5">
        <f t="shared" si="8"/>
        <v>0.37323274871591328</v>
      </c>
      <c r="AB5" t="str">
        <f t="shared" si="9"/>
        <v>L1</v>
      </c>
      <c r="AC5">
        <f t="shared" si="10"/>
        <v>0.99929309948636535</v>
      </c>
      <c r="AD5">
        <f t="shared" si="11"/>
        <v>0.56178416399689413</v>
      </c>
      <c r="AE5">
        <f t="shared" si="12"/>
        <v>3</v>
      </c>
    </row>
    <row r="6" spans="1:32" x14ac:dyDescent="0.2">
      <c r="A6" t="s">
        <v>59</v>
      </c>
      <c r="B6">
        <f>IF(Processing_data!$AB$4="","",Processing_data!$AB$4/Processing_data!$AJ$4)</f>
        <v>0.55977115326708826</v>
      </c>
      <c r="C6">
        <f>IF(Processing_data!$AB$5="","",Processing_data!$AB$5/Processing_data!$AJ$5)</f>
        <v>0.30188679245283023</v>
      </c>
      <c r="D6">
        <f>IF(Processing_data!$AB$6="","",Processing_data!$AB$6/Processing_data!$AJ$6)</f>
        <v>0.46742596810933945</v>
      </c>
      <c r="E6">
        <f>IF(Processing_data!$AB$7="","",Processing_data!$AB$7/Processing_data!$AJ$7)</f>
        <v>0.74557522123893816</v>
      </c>
      <c r="F6">
        <f>IF(Processing_data!$AB$8="","",Processing_data!$AB$8/Processing_data!$AJ$8)</f>
        <v>0.51136028326940097</v>
      </c>
      <c r="G6">
        <f>IF(Processing_data!$AB$9="","",Processing_data!$AB$9/Processing_data!$AJ$9)</f>
        <v>0.44736842105263158</v>
      </c>
      <c r="H6">
        <f>IF(Processing_data!$AB$10="","",Processing_data!$AB$10/Processing_data!$AJ$10)</f>
        <v>0.2811655151697206</v>
      </c>
      <c r="I6">
        <f>IF(Processing_data!$AB$11="","",Processing_data!$AB$11/Processing_data!$AJ$11)</f>
        <v>0.31749849669272401</v>
      </c>
      <c r="J6">
        <f>IF(Processing_data!$AB$12="","",Processing_data!$AB$12/Processing_data!$AJ$12)</f>
        <v>0.91389207807118256</v>
      </c>
      <c r="K6">
        <f>IF(Processing_data!$AB$13="","",Processing_data!$AB$13/Processing_data!$AJ$13)</f>
        <v>0.63287940474519155</v>
      </c>
      <c r="L6">
        <f>IF(Processing_data!$AB$14="","",Processing_data!$AB$14/Processing_data!$AJ$14)</f>
        <v>0.30852090032154339</v>
      </c>
      <c r="M6">
        <f>IF(Processing_data!$AB$15="","",Processing_data!$AB$15/Processing_data!$AJ$15)</f>
        <v>0.58633425669436745</v>
      </c>
      <c r="N6">
        <f>IF(Processing_data!$AB$16="","",Processing_data!$AB$16/Processing_data!$AJ$16)</f>
        <v>0.67647999999999997</v>
      </c>
      <c r="O6">
        <f>IF(Processing_data!$AB$17="","",Processing_data!$AB$17/Processing_data!$AJ$17)</f>
        <v>0.16472630718954248</v>
      </c>
      <c r="P6">
        <f>IF(Processing_data!$AB$18="","",Processing_data!$AB$18/Processing_data!$AJ$18)</f>
        <v>0.28620689655172421</v>
      </c>
      <c r="Q6">
        <f>IF(Processing_data!$AB$19="","",Processing_data!$AB$19/Processing_data!$AJ$19)</f>
        <v>0.18919939577039274</v>
      </c>
      <c r="R6">
        <f>IF(Processing_data!$AB$20="","",Processing_data!$AB$20/Processing_data!$AJ$20)</f>
        <v>0.51560717618998231</v>
      </c>
      <c r="S6">
        <f t="shared" si="0"/>
        <v>0.4430279712764193</v>
      </c>
      <c r="T6">
        <f t="shared" si="1"/>
        <v>0.62846775225416951</v>
      </c>
      <c r="U6">
        <f t="shared" si="2"/>
        <v>0.34867747763835871</v>
      </c>
      <c r="V6">
        <f t="shared" si="3"/>
        <v>0.77338574140818706</v>
      </c>
      <c r="W6">
        <f t="shared" si="4"/>
        <v>0.52377838567197033</v>
      </c>
      <c r="X6">
        <f t="shared" si="5"/>
        <v>0.22546660187063333</v>
      </c>
      <c r="Y6">
        <f t="shared" si="6"/>
        <v>0.35240328598018755</v>
      </c>
      <c r="Z6">
        <f t="shared" si="7"/>
        <v>0.54346746564982107</v>
      </c>
      <c r="AA6">
        <f t="shared" si="8"/>
        <v>0.34867747763835871</v>
      </c>
      <c r="AB6" t="str">
        <f t="shared" si="9"/>
        <v>L2</v>
      </c>
      <c r="AC6">
        <f t="shared" si="10"/>
        <v>0.98947099105534353</v>
      </c>
      <c r="AD6">
        <f t="shared" si="11"/>
        <v>0.53774529184286435</v>
      </c>
      <c r="AE6">
        <f t="shared" si="12"/>
        <v>3</v>
      </c>
      <c r="AF6">
        <f t="shared" ref="AF6:AF15" si="13">1+COUNTIF($AD$6:$AD$15,"&gt;"&amp;AD6)</f>
        <v>5</v>
      </c>
    </row>
    <row r="7" spans="1:32" x14ac:dyDescent="0.2">
      <c r="A7" t="s">
        <v>51</v>
      </c>
      <c r="B7">
        <f>IF(Processing_data!$T$4="","",Processing_data!$T$4/Processing_data!$AJ$4)</f>
        <v>0.42261367058115024</v>
      </c>
      <c r="C7">
        <f>IF(Processing_data!$T$5="","",Processing_data!$T$5/Processing_data!$AJ$5)</f>
        <v>0.31933962264150945</v>
      </c>
      <c r="D7">
        <f>IF(Processing_data!$T$6="","",Processing_data!$T$6/Processing_data!$AJ$6)</f>
        <v>0.13591495823842065</v>
      </c>
      <c r="E7">
        <f>IF(Processing_data!$T$7="","",Processing_data!$T$7/Processing_data!$AJ$7)</f>
        <v>0.31969026548672569</v>
      </c>
      <c r="F7">
        <f>IF(Processing_data!$T$8="","",Processing_data!$T$8/Processing_data!$AJ$8)</f>
        <v>0.27205665388020067</v>
      </c>
      <c r="G7" t="str">
        <f>IF(Processing_data!$T$9="","",Processing_data!$T$9/Processing_data!$AJ$9)</f>
        <v/>
      </c>
      <c r="H7">
        <f>IF(Processing_data!$T$10="","",Processing_data!$T$10/Processing_data!$AJ$10)</f>
        <v>0.64328627215379997</v>
      </c>
      <c r="I7">
        <f>IF(Processing_data!$T$11="","",Processing_data!$T$11/Processing_data!$AJ$11)</f>
        <v>0.42313088795349768</v>
      </c>
      <c r="J7">
        <f>IF(Processing_data!$T$12="","",Processing_data!$T$12/Processing_data!$AJ$12)</f>
        <v>0.73562258636885502</v>
      </c>
      <c r="K7">
        <f>IF(Processing_data!$T$13="","",Processing_data!$T$13/Processing_data!$AJ$13)</f>
        <v>0.47634423697880102</v>
      </c>
      <c r="L7">
        <f>IF(Processing_data!$T$14="","",Processing_data!$T$14/Processing_data!$AJ$14)</f>
        <v>0.4299035369774919</v>
      </c>
      <c r="M7">
        <f>IF(Processing_data!$T$15="","",Processing_data!$T$15/Processing_data!$AJ$15)</f>
        <v>0.60408330768441576</v>
      </c>
      <c r="N7">
        <f>IF(Processing_data!$T$16="","",Processing_data!$T$16/Processing_data!$AJ$16)</f>
        <v>0.40256000000000003</v>
      </c>
      <c r="O7">
        <f>IF(Processing_data!$T$17="","",Processing_data!$T$17/Processing_data!$AJ$17)</f>
        <v>0.32373366013071891</v>
      </c>
      <c r="P7">
        <f>IF(Processing_data!$T$18="","",Processing_data!$T$18/Processing_data!$AJ$18)</f>
        <v>0.17212643678160922</v>
      </c>
      <c r="Q7">
        <f>IF(Processing_data!$T$19="","",Processing_data!$T$19/Processing_data!$AJ$19)</f>
        <v>0.22847432024169184</v>
      </c>
      <c r="R7">
        <f>IF(Processing_data!$T$20="","",Processing_data!$T$20/Processing_data!$AJ$20)</f>
        <v>0.52846624494451933</v>
      </c>
      <c r="S7">
        <f t="shared" si="0"/>
        <v>0.29262275048702674</v>
      </c>
      <c r="T7">
        <f t="shared" si="1"/>
        <v>0.29587345968346318</v>
      </c>
      <c r="U7">
        <f t="shared" si="2"/>
        <v>0.5332085800536488</v>
      </c>
      <c r="V7">
        <f t="shared" si="3"/>
        <v>0.60598341167382808</v>
      </c>
      <c r="W7">
        <f t="shared" si="4"/>
        <v>0.47884894822063589</v>
      </c>
      <c r="X7">
        <f t="shared" si="5"/>
        <v>0.24793004845616406</v>
      </c>
      <c r="Y7">
        <f t="shared" si="6"/>
        <v>0.37847028259310556</v>
      </c>
      <c r="Z7">
        <f t="shared" si="7"/>
        <v>0.44130743002372058</v>
      </c>
      <c r="AA7">
        <f t="shared" si="8"/>
        <v>0.29262275048702674</v>
      </c>
      <c r="AB7" t="str">
        <f t="shared" si="9"/>
        <v>C</v>
      </c>
      <c r="AC7">
        <f t="shared" si="10"/>
        <v>0.96704910019481072</v>
      </c>
      <c r="AD7">
        <f t="shared" si="11"/>
        <v>0.4267659531137234</v>
      </c>
      <c r="AE7">
        <f t="shared" si="12"/>
        <v>3</v>
      </c>
      <c r="AF7">
        <f t="shared" si="13"/>
        <v>7</v>
      </c>
    </row>
    <row r="8" spans="1:32" x14ac:dyDescent="0.2">
      <c r="A8" t="s">
        <v>61</v>
      </c>
      <c r="B8">
        <f>IF(Processing_data!$AD$4="","",Processing_data!$AD$4/Processing_data!$AJ$4)</f>
        <v>0.31647094248720264</v>
      </c>
      <c r="C8">
        <f>IF(Processing_data!$AD$5="","",Processing_data!$AD$5/Processing_data!$AJ$5)</f>
        <v>0.14339622641509434</v>
      </c>
      <c r="D8">
        <f>IF(Processing_data!$AD$6="","",Processing_data!$AD$6/Processing_data!$AJ$6)</f>
        <v>0.86165527714502665</v>
      </c>
      <c r="E8">
        <f>IF(Processing_data!$AD$7="","",Processing_data!$AD$7/Processing_data!$AJ$7)</f>
        <v>0.31803097345132747</v>
      </c>
      <c r="F8">
        <f>IF(Processing_data!$AD$8="","",Processing_data!$AD$8/Processing_data!$AJ$8)</f>
        <v>0.16494541162584833</v>
      </c>
      <c r="G8">
        <f>IF(Processing_data!$AD$9="","",Processing_data!$AD$9/Processing_data!$AJ$9)</f>
        <v>0.18515713744793638</v>
      </c>
      <c r="H8">
        <f>IF(Processing_data!$AD$10="","",Processing_data!$AD$10/Processing_data!$AJ$10)</f>
        <v>0.47506758786422348</v>
      </c>
      <c r="I8">
        <f>IF(Processing_data!$AD$11="","",Processing_data!$AD$11/Processing_data!$AJ$11)</f>
        <v>0.20264582080577268</v>
      </c>
      <c r="J8">
        <f>IF(Processing_data!$AD$12="","",Processing_data!$AD$12/Processing_data!$AJ$12)</f>
        <v>0.85179000104373237</v>
      </c>
      <c r="K8">
        <f>IF(Processing_data!$AD$13="","",Processing_data!$AD$13/Processing_data!$AJ$13)</f>
        <v>0.26295100379053771</v>
      </c>
      <c r="L8">
        <f>IF(Processing_data!$AD$14="","",Processing_data!$AD$14/Processing_data!$AJ$14)</f>
        <v>0.33842443729903537</v>
      </c>
      <c r="M8">
        <f>IF(Processing_data!$AD$15="","",Processing_data!$AD$15/Processing_data!$AJ$15)</f>
        <v>0.51492767005232376</v>
      </c>
      <c r="N8">
        <f>IF(Processing_data!$AD$16="","",Processing_data!$AD$16/Processing_data!$AJ$16)</f>
        <v>0.28095999999999999</v>
      </c>
      <c r="O8">
        <f>IF(Processing_data!$AD$17="","",Processing_data!$AD$17/Processing_data!$AJ$17)</f>
        <v>0.44005310457516345</v>
      </c>
      <c r="P8">
        <f>IF(Processing_data!$AD$18="","",Processing_data!$AD$18/Processing_data!$AJ$18)</f>
        <v>0.17040229885057473</v>
      </c>
      <c r="Q8">
        <f>IF(Processing_data!$AD$19="","",Processing_data!$AD$19/Processing_data!$AJ$19)</f>
        <v>7.7416918429003015E-2</v>
      </c>
      <c r="R8">
        <f>IF(Processing_data!$AD$20="","",Processing_data!$AD$20/Processing_data!$AJ$20)</f>
        <v>0.35995022295965984</v>
      </c>
      <c r="S8">
        <f t="shared" si="0"/>
        <v>0.44050748201577455</v>
      </c>
      <c r="T8">
        <f t="shared" si="1"/>
        <v>0.24148819253858789</v>
      </c>
      <c r="U8">
        <f t="shared" si="2"/>
        <v>0.28762351537264413</v>
      </c>
      <c r="V8">
        <f t="shared" si="3"/>
        <v>0.55737050241713504</v>
      </c>
      <c r="W8">
        <f t="shared" si="4"/>
        <v>0.37810403578378637</v>
      </c>
      <c r="X8">
        <f t="shared" si="5"/>
        <v>0.30522770171286906</v>
      </c>
      <c r="Y8">
        <f t="shared" si="6"/>
        <v>0.21868357069433142</v>
      </c>
      <c r="Z8">
        <f t="shared" si="7"/>
        <v>0.38101874562558558</v>
      </c>
      <c r="AA8">
        <f t="shared" si="8"/>
        <v>0.24148819253858789</v>
      </c>
      <c r="AB8" t="str">
        <f t="shared" si="9"/>
        <v>L1</v>
      </c>
      <c r="AC8">
        <f t="shared" si="10"/>
        <v>0.94659527701543511</v>
      </c>
      <c r="AD8">
        <f t="shared" si="11"/>
        <v>0.36067054506352481</v>
      </c>
      <c r="AE8">
        <f t="shared" si="12"/>
        <v>2</v>
      </c>
      <c r="AF8">
        <f t="shared" si="13"/>
        <v>8</v>
      </c>
    </row>
    <row r="9" spans="1:32" x14ac:dyDescent="0.2">
      <c r="A9" t="s">
        <v>42</v>
      </c>
      <c r="B9">
        <f>IF(Processing_data!$K$4="","",Processing_data!$K$4/Processing_data!$AJ$4)</f>
        <v>0.72508280638361933</v>
      </c>
      <c r="C9">
        <f>IF(Processing_data!$K$5="","",Processing_data!$K$5/Processing_data!$AJ$5)</f>
        <v>0.70896226415094343</v>
      </c>
      <c r="D9">
        <f>IF(Processing_data!$K$6="","",Processing_data!$K$6/Processing_data!$AJ$6)</f>
        <v>0.25512528473804102</v>
      </c>
      <c r="E9">
        <f>IF(Processing_data!$K$7="","",Processing_data!$K$7/Processing_data!$AJ$7)</f>
        <v>0.41482300884955758</v>
      </c>
      <c r="F9">
        <f>IF(Processing_data!$K$8="","",Processing_data!$K$8/Processing_data!$AJ$8)</f>
        <v>0.46975508999704929</v>
      </c>
      <c r="G9">
        <f>IF(Processing_data!$K$9="","",Processing_data!$K$9/Processing_data!$AJ$9)</f>
        <v>0.7027641045058689</v>
      </c>
      <c r="H9">
        <f>IF(Processing_data!$K$10="","",Processing_data!$K$10/Processing_data!$AJ$10)</f>
        <v>0.62346049864824271</v>
      </c>
      <c r="I9">
        <f>IF(Processing_data!$K$11="","",Processing_data!$K$11/Processing_data!$AJ$11)</f>
        <v>0.68731208659049903</v>
      </c>
      <c r="J9">
        <f>IF(Processing_data!$K$12="","",Processing_data!$K$12/Processing_data!$AJ$12)</f>
        <v>0.85304247990815152</v>
      </c>
      <c r="K9">
        <f>IF(Processing_data!$K$13="","",Processing_data!$K$13/Processing_data!$AJ$13)</f>
        <v>0.59778183349712199</v>
      </c>
      <c r="L9">
        <f>IF(Processing_data!$K$14="","",Processing_data!$K$14/Processing_data!$AJ$14)</f>
        <v>0.65884244372990342</v>
      </c>
      <c r="M9">
        <f>IF(Processing_data!$K$15="","",Processing_data!$K$15/Processing_data!$AJ$15)</f>
        <v>0.81163434903047094</v>
      </c>
      <c r="N9">
        <f>IF(Processing_data!$K$16="","",Processing_data!$K$16/Processing_data!$AJ$16)</f>
        <v>0.96575999999999995</v>
      </c>
      <c r="O9">
        <f>IF(Processing_data!$K$17="","",Processing_data!$K$17/Processing_data!$AJ$17)</f>
        <v>0.35927287581699346</v>
      </c>
      <c r="P9">
        <f>IF(Processing_data!$K$18="","",Processing_data!$K$18/Processing_data!$AJ$18)</f>
        <v>0.3876436781609196</v>
      </c>
      <c r="Q9">
        <f>IF(Processing_data!$K$19="","",Processing_data!$K$19/Processing_data!$AJ$19)</f>
        <v>0.40709969788519634</v>
      </c>
      <c r="R9">
        <f>IF(Processing_data!$K$20="","",Processing_data!$K$20/Processing_data!$AJ$20)</f>
        <v>0.68598983718759721</v>
      </c>
      <c r="S9">
        <f t="shared" si="0"/>
        <v>0.56305678509086798</v>
      </c>
      <c r="T9">
        <f t="shared" si="1"/>
        <v>0.44228904942330344</v>
      </c>
      <c r="U9">
        <f t="shared" si="2"/>
        <v>0.67117889658153684</v>
      </c>
      <c r="V9">
        <f t="shared" si="3"/>
        <v>0.72541215670263681</v>
      </c>
      <c r="W9">
        <f t="shared" si="4"/>
        <v>0.81207893092012473</v>
      </c>
      <c r="X9">
        <f t="shared" si="5"/>
        <v>0.37345827698895651</v>
      </c>
      <c r="Y9">
        <f t="shared" si="6"/>
        <v>0.5465447675363968</v>
      </c>
      <c r="Z9">
        <f t="shared" si="7"/>
        <v>0.64280316374369395</v>
      </c>
      <c r="AA9">
        <f t="shared" si="8"/>
        <v>0.44228904942330344</v>
      </c>
      <c r="AB9" t="str">
        <f t="shared" si="9"/>
        <v>L1</v>
      </c>
      <c r="AC9">
        <f t="shared" si="10"/>
        <v>1</v>
      </c>
      <c r="AD9">
        <f t="shared" si="11"/>
        <v>0.64280316374369395</v>
      </c>
      <c r="AE9">
        <f t="shared" si="12"/>
        <v>4</v>
      </c>
      <c r="AF9">
        <f t="shared" si="13"/>
        <v>2</v>
      </c>
    </row>
    <row r="10" spans="1:32" x14ac:dyDescent="0.2">
      <c r="A10" t="s">
        <v>64</v>
      </c>
      <c r="B10">
        <f>IF(Processing_data!$AG$4="","",Processing_data!$AG$4/Processing_data!$AJ$4)</f>
        <v>0.31737428485395963</v>
      </c>
      <c r="C10">
        <f>IF(Processing_data!$AG$5="","",Processing_data!$AG$5/Processing_data!$AJ$5)</f>
        <v>0.53066037735849059</v>
      </c>
      <c r="D10">
        <f>IF(Processing_data!$AG$6="","",Processing_data!$AG$6/Processing_data!$AJ$6)</f>
        <v>0.20410022779043283</v>
      </c>
      <c r="E10">
        <f>IF(Processing_data!$AG$7="","",Processing_data!$AG$7/Processing_data!$AJ$7)</f>
        <v>0.23008849557522126</v>
      </c>
      <c r="F10">
        <f>IF(Processing_data!$AG$8="","",Processing_data!$AG$8/Processing_data!$AJ$8)</f>
        <v>0.2398937739746238</v>
      </c>
      <c r="G10">
        <f>IF(Processing_data!$AG$9="","",Processing_data!$AG$9/Processing_data!$AJ$9)</f>
        <v>0.64634608102991287</v>
      </c>
      <c r="H10">
        <f>IF(Processing_data!$AG$10="","",Processing_data!$AG$10/Processing_data!$AJ$10)</f>
        <v>0.44142385100630821</v>
      </c>
      <c r="I10">
        <f>IF(Processing_data!$AG$11="","",Processing_data!$AG$11/Processing_data!$AJ$11)</f>
        <v>0.71236720785728602</v>
      </c>
      <c r="J10">
        <f>IF(Processing_data!$AG$12="","",Processing_data!$AG$12/Processing_data!$AJ$12)</f>
        <v>0.61308840413318022</v>
      </c>
      <c r="K10">
        <f>IF(Processing_data!$AG$13="","",Processing_data!$AG$13/Processing_data!$AJ$13)</f>
        <v>0.49262951003790539</v>
      </c>
      <c r="L10">
        <f>IF(Processing_data!$AG$14="","",Processing_data!$AG$14/Processing_data!$AJ$14)</f>
        <v>0.68681672025723473</v>
      </c>
      <c r="M10">
        <f>IF(Processing_data!$AG$15="","",Processing_data!$AG$15/Processing_data!$AJ$15)</f>
        <v>0.74299784549092029</v>
      </c>
      <c r="N10">
        <f>IF(Processing_data!$AG$16="","",Processing_data!$AG$16/Processing_data!$AJ$16)</f>
        <v>0.43872000000000005</v>
      </c>
      <c r="O10">
        <f>IF(Processing_data!$AG$17="","",Processing_data!$AG$17/Processing_data!$AJ$17)</f>
        <v>0.38735702614379086</v>
      </c>
      <c r="P10">
        <f>IF(Processing_data!$AG$18="","",Processing_data!$AG$18/Processing_data!$AJ$18)</f>
        <v>0.14655172413793105</v>
      </c>
      <c r="Q10">
        <f>IF(Processing_data!$AG$19="","",Processing_data!$AG$19/Processing_data!$AJ$19)</f>
        <v>0.38972809667673719</v>
      </c>
      <c r="R10">
        <f>IF(Processing_data!$AG$20="","",Processing_data!$AG$20/Processing_data!$AJ$20)</f>
        <v>0.552732552110339</v>
      </c>
      <c r="S10">
        <f t="shared" si="0"/>
        <v>0.35071163000096101</v>
      </c>
      <c r="T10">
        <f t="shared" si="1"/>
        <v>0.23499113477492253</v>
      </c>
      <c r="U10">
        <f t="shared" si="2"/>
        <v>0.60004571329783574</v>
      </c>
      <c r="V10">
        <f t="shared" si="3"/>
        <v>0.55285895708554278</v>
      </c>
      <c r="W10">
        <f t="shared" si="4"/>
        <v>0.62284485524938493</v>
      </c>
      <c r="X10">
        <f t="shared" si="5"/>
        <v>0.26695437514086096</v>
      </c>
      <c r="Y10">
        <f t="shared" si="6"/>
        <v>0.47123032439353807</v>
      </c>
      <c r="Z10">
        <f t="shared" si="7"/>
        <v>0.47229045808172937</v>
      </c>
      <c r="AA10">
        <f t="shared" si="8"/>
        <v>0.23499113477492253</v>
      </c>
      <c r="AB10" t="str">
        <f t="shared" si="9"/>
        <v>L1</v>
      </c>
      <c r="AC10">
        <f t="shared" si="10"/>
        <v>0.943996453909969</v>
      </c>
      <c r="AD10">
        <f t="shared" si="11"/>
        <v>0.44584051764466737</v>
      </c>
      <c r="AE10">
        <f t="shared" si="12"/>
        <v>3</v>
      </c>
      <c r="AF10">
        <f t="shared" si="13"/>
        <v>6</v>
      </c>
    </row>
    <row r="11" spans="1:32" x14ac:dyDescent="0.2">
      <c r="A11" t="s">
        <v>54</v>
      </c>
      <c r="B11">
        <f>IF(Processing_data!$W$4="","",Processing_data!$W$4/Processing_data!$AJ$4)</f>
        <v>0.89144835892803376</v>
      </c>
      <c r="C11">
        <f>IF(Processing_data!$W$5="","",Processing_data!$W$5/Processing_data!$AJ$5)</f>
        <v>0.65471698113207555</v>
      </c>
      <c r="D11">
        <f>IF(Processing_data!$W$6="","",Processing_data!$W$6/Processing_data!$AJ$6)</f>
        <v>0.53773728170083523</v>
      </c>
      <c r="E11">
        <f>IF(Processing_data!$W$7="","",Processing_data!$W$7/Processing_data!$AJ$7)</f>
        <v>0.42754424778761069</v>
      </c>
      <c r="F11">
        <f>IF(Processing_data!$W$8="","",Processing_data!$W$8/Processing_data!$AJ$8)</f>
        <v>0.35320153437592211</v>
      </c>
      <c r="G11">
        <f>IF(Processing_data!$W$9="","",Processing_data!$W$9/Processing_data!$AJ$9)</f>
        <v>0.5132525558500568</v>
      </c>
      <c r="H11">
        <f>IF(Processing_data!$W$10="","",Processing_data!$W$10/Processing_data!$AJ$10)</f>
        <v>1</v>
      </c>
      <c r="I11">
        <f>IF(Processing_data!$W$11="","",Processing_data!$W$11/Processing_data!$AJ$11)</f>
        <v>0.75766686710763675</v>
      </c>
      <c r="J11">
        <f>IF(Processing_data!$W$12="","",Processing_data!$W$12/Processing_data!$AJ$12)</f>
        <v>0.98131719027241404</v>
      </c>
      <c r="K11">
        <f>IF(Processing_data!$W$13="","",Processing_data!$W$13/Processing_data!$AJ$13)</f>
        <v>0.81749262951003776</v>
      </c>
      <c r="L11">
        <f>IF(Processing_data!$W$14="","",Processing_data!$W$14/Processing_data!$AJ$14)</f>
        <v>0.97170418006430859</v>
      </c>
      <c r="M11">
        <f>IF(Processing_data!$W$15="","",Processing_data!$W$15/Processing_data!$AJ$15)</f>
        <v>0.8368728839642966</v>
      </c>
      <c r="N11">
        <f>IF(Processing_data!$W$16="","",Processing_data!$W$16/Processing_data!$AJ$16)</f>
        <v>0.83328000000000002</v>
      </c>
      <c r="O11">
        <f>IF(Processing_data!$W$17="","",Processing_data!$W$17/Processing_data!$AJ$17)</f>
        <v>0.44924428104575165</v>
      </c>
      <c r="P11">
        <f>IF(Processing_data!$W$18="","",Processing_data!$W$18/Processing_data!$AJ$18)</f>
        <v>0.8824712643678162</v>
      </c>
      <c r="Q11">
        <f>IF(Processing_data!$W$19="","",Processing_data!$W$19/Processing_data!$AJ$19)</f>
        <v>0.61253776435045315</v>
      </c>
      <c r="R11">
        <f>IF(Processing_data!$W$20="","",Processing_data!$W$20/Processing_data!$AJ$20)</f>
        <v>0.82806180649175554</v>
      </c>
      <c r="S11">
        <f t="shared" si="0"/>
        <v>0.69463420725364811</v>
      </c>
      <c r="T11">
        <f t="shared" si="1"/>
        <v>0.39037289108176643</v>
      </c>
      <c r="U11">
        <f t="shared" si="2"/>
        <v>0.75697314098589785</v>
      </c>
      <c r="V11">
        <f t="shared" si="3"/>
        <v>0.8994049098912259</v>
      </c>
      <c r="W11">
        <f t="shared" si="4"/>
        <v>0.88061902134286851</v>
      </c>
      <c r="X11">
        <f t="shared" si="5"/>
        <v>0.66585777270678392</v>
      </c>
      <c r="Y11">
        <f t="shared" si="6"/>
        <v>0.7202997854211044</v>
      </c>
      <c r="Z11">
        <f t="shared" si="7"/>
        <v>0.72440083411108147</v>
      </c>
      <c r="AA11">
        <f t="shared" si="8"/>
        <v>0.39037289108176643</v>
      </c>
      <c r="AB11" t="str">
        <f t="shared" si="9"/>
        <v>L1</v>
      </c>
      <c r="AC11">
        <f t="shared" si="10"/>
        <v>1</v>
      </c>
      <c r="AD11">
        <f t="shared" si="11"/>
        <v>0.72440083411108147</v>
      </c>
      <c r="AE11">
        <f t="shared" si="12"/>
        <v>4</v>
      </c>
      <c r="AF11">
        <f t="shared" si="13"/>
        <v>1</v>
      </c>
    </row>
    <row r="12" spans="1:32" x14ac:dyDescent="0.2">
      <c r="A12" t="s">
        <v>56</v>
      </c>
      <c r="B12">
        <f>IF(Processing_data!$Y$4="","",Processing_data!$Y$4/Processing_data!$AJ$4)</f>
        <v>0.68202348690153558</v>
      </c>
      <c r="C12">
        <f>IF(Processing_data!$Y$5="","",Processing_data!$Y$5/Processing_data!$AJ$5)</f>
        <v>0.68066037735849061</v>
      </c>
      <c r="D12">
        <f>IF(Processing_data!$Y$6="","",Processing_data!$Y$6/Processing_data!$AJ$6)</f>
        <v>0.76977980258162493</v>
      </c>
      <c r="E12">
        <f>IF(Processing_data!$Y$7="","",Processing_data!$Y$7/Processing_data!$AJ$7)</f>
        <v>0.34070796460176994</v>
      </c>
      <c r="F12">
        <f>IF(Processing_data!$Y$8="","",Processing_data!$Y$8/Processing_data!$AJ$8)</f>
        <v>0.19563293006786661</v>
      </c>
      <c r="G12">
        <f>IF(Processing_data!$Y$9="","",Processing_data!$Y$9/Processing_data!$AJ$9)</f>
        <v>0.38508140855736461</v>
      </c>
      <c r="H12">
        <f>IF(Processing_data!$Y$10="","",Processing_data!$Y$10/Processing_data!$AJ$10)</f>
        <v>0.69600480624812266</v>
      </c>
      <c r="I12">
        <f>IF(Processing_data!$Y$11="","",Processing_data!$Y$11/Processing_data!$AJ$11)</f>
        <v>0.60232511525355781</v>
      </c>
      <c r="J12">
        <f>IF(Processing_data!$Y$12="","",Processing_data!$Y$12/Processing_data!$AJ$12)</f>
        <v>0.93894165535956575</v>
      </c>
      <c r="K12">
        <f>IF(Processing_data!$Y$13="","",Processing_data!$Y$13/Processing_data!$AJ$13)</f>
        <v>0.4684823810192334</v>
      </c>
      <c r="L12">
        <f>IF(Processing_data!$Y$14="","",Processing_data!$Y$14/Processing_data!$AJ$14)</f>
        <v>0.67315112540192923</v>
      </c>
      <c r="M12">
        <f>IF(Processing_data!$Y$15="","",Processing_data!$Y$15/Processing_data!$AJ$15)</f>
        <v>0.69549605006668724</v>
      </c>
      <c r="N12">
        <f>IF(Processing_data!$Y$16="","",Processing_data!$Y$16/Processing_data!$AJ$16)</f>
        <v>0.42048000000000002</v>
      </c>
      <c r="O12">
        <f>IF(Processing_data!$Y$17="","",Processing_data!$Y$17/Processing_data!$AJ$17)</f>
        <v>0.39011437908496732</v>
      </c>
      <c r="P12">
        <f>IF(Processing_data!$Y$18="","",Processing_data!$Y$18/Processing_data!$AJ$18)</f>
        <v>0.51609195402298857</v>
      </c>
      <c r="Q12">
        <f>IF(Processing_data!$Y$19="","",Processing_data!$Y$19/Processing_data!$AJ$19)</f>
        <v>0.44561933534743203</v>
      </c>
      <c r="R12">
        <f>IF(Processing_data!$Y$20="","",Processing_data!$Y$20/Processing_data!$AJ$20)</f>
        <v>0.66421238203878452</v>
      </c>
      <c r="S12">
        <f t="shared" si="0"/>
        <v>0.71082122228055045</v>
      </c>
      <c r="T12">
        <f t="shared" si="1"/>
        <v>0.26817044733481826</v>
      </c>
      <c r="U12">
        <f t="shared" si="2"/>
        <v>0.5611371100196817</v>
      </c>
      <c r="V12">
        <f t="shared" si="3"/>
        <v>0.70371201818939955</v>
      </c>
      <c r="W12">
        <f t="shared" si="4"/>
        <v>0.59637572515620552</v>
      </c>
      <c r="X12">
        <f t="shared" si="5"/>
        <v>0.45310316655397798</v>
      </c>
      <c r="Y12">
        <f t="shared" si="6"/>
        <v>0.55491585869310822</v>
      </c>
      <c r="Z12">
        <f t="shared" si="7"/>
        <v>0.56804330459613106</v>
      </c>
      <c r="AA12">
        <f t="shared" si="8"/>
        <v>0.26817044733481826</v>
      </c>
      <c r="AB12" t="str">
        <f t="shared" si="9"/>
        <v>L1</v>
      </c>
      <c r="AC12">
        <f t="shared" si="10"/>
        <v>0.95726817893392735</v>
      </c>
      <c r="AD12">
        <f t="shared" si="11"/>
        <v>0.54376977974634855</v>
      </c>
      <c r="AE12">
        <f t="shared" si="12"/>
        <v>3</v>
      </c>
      <c r="AF12">
        <f t="shared" si="13"/>
        <v>4</v>
      </c>
    </row>
    <row r="13" spans="1:32" x14ac:dyDescent="0.2">
      <c r="A13" t="s">
        <v>45</v>
      </c>
      <c r="B13">
        <f>IF(Processing_data!$N$4="","",Processing_data!$N$4/Processing_data!$AJ$4)</f>
        <v>0.56052393857271898</v>
      </c>
      <c r="C13">
        <f>IF(Processing_data!$N$5="","",Processing_data!$N$5/Processing_data!$AJ$5)</f>
        <v>0.56509433962264155</v>
      </c>
      <c r="D13">
        <f>IF(Processing_data!$N$6="","",Processing_data!$N$6/Processing_data!$AJ$6)</f>
        <v>0.60956719817767657</v>
      </c>
      <c r="E13">
        <f>IF(Processing_data!$N$7="","",Processing_data!$N$7/Processing_data!$AJ$7)</f>
        <v>0.25055309734513276</v>
      </c>
      <c r="F13">
        <f>IF(Processing_data!$N$8="","",Processing_data!$N$8/Processing_data!$AJ$8)</f>
        <v>0.48952493360873411</v>
      </c>
      <c r="G13">
        <f>IF(Processing_data!$N$9="","",Processing_data!$N$9/Processing_data!$AJ$9)</f>
        <v>0.6139719803104885</v>
      </c>
      <c r="H13">
        <f>IF(Processing_data!$N$10="","",Processing_data!$N$10/Processing_data!$AJ$10)</f>
        <v>0.75503154100330439</v>
      </c>
      <c r="I13">
        <f>IF(Processing_data!$N$11="","",Processing_data!$N$11/Processing_data!$AJ$11)</f>
        <v>0.50851874123070762</v>
      </c>
      <c r="J13">
        <f>IF(Processing_data!$N$12="","",Processing_data!$N$12/Processing_data!$AJ$12)</f>
        <v>0.89333055004696793</v>
      </c>
      <c r="K13">
        <f>IF(Processing_data!$N$13="","",Processing_data!$N$13/Processing_data!$AJ$13)</f>
        <v>0.92320651410922361</v>
      </c>
      <c r="L13">
        <f>IF(Processing_data!$N$14="","",Processing_data!$N$14/Processing_data!$AJ$14)</f>
        <v>0.75498392282958193</v>
      </c>
      <c r="M13">
        <f>IF(Processing_data!$N$15="","",Processing_data!$N$15/Processing_data!$AJ$15)</f>
        <v>0.71273212270442188</v>
      </c>
      <c r="N13">
        <f>IF(Processing_data!$N$16="","",Processing_data!$N$16/Processing_data!$AJ$16)</f>
        <v>0.36512</v>
      </c>
      <c r="O13">
        <f>IF(Processing_data!$N$17="","",Processing_data!$N$17/Processing_data!$AJ$17)</f>
        <v>0.80044934640522869</v>
      </c>
      <c r="P13">
        <f>IF(Processing_data!$N$18="","",Processing_data!$N$18/Processing_data!$AJ$18)</f>
        <v>0.52672413793103445</v>
      </c>
      <c r="Q13">
        <f>IF(Processing_data!$N$19="","",Processing_data!$N$19/Processing_data!$AJ$19)</f>
        <v>0.62046827794561932</v>
      </c>
      <c r="R13">
        <f>IF(Processing_data!$N$20="","",Processing_data!$N$20/Processing_data!$AJ$20)</f>
        <v>0.74126309239863108</v>
      </c>
      <c r="S13">
        <f t="shared" si="0"/>
        <v>0.57839515879101233</v>
      </c>
      <c r="T13">
        <f t="shared" si="1"/>
        <v>0.37003901547693341</v>
      </c>
      <c r="U13">
        <f t="shared" si="2"/>
        <v>0.62584075418150009</v>
      </c>
      <c r="V13">
        <f t="shared" si="3"/>
        <v>0.90826853207809577</v>
      </c>
      <c r="W13">
        <f t="shared" si="4"/>
        <v>0.61094534851133464</v>
      </c>
      <c r="X13">
        <f t="shared" si="5"/>
        <v>0.66358674216813163</v>
      </c>
      <c r="Y13">
        <f t="shared" si="6"/>
        <v>0.6808656851721252</v>
      </c>
      <c r="Z13">
        <f t="shared" si="7"/>
        <v>0.61869776180777525</v>
      </c>
      <c r="AA13">
        <f t="shared" si="8"/>
        <v>0.37003901547693341</v>
      </c>
      <c r="AB13" t="str">
        <f t="shared" si="9"/>
        <v>L1</v>
      </c>
      <c r="AC13">
        <f t="shared" si="10"/>
        <v>0.99801560619077334</v>
      </c>
      <c r="AD13">
        <f t="shared" si="11"/>
        <v>0.61747002179946153</v>
      </c>
      <c r="AE13">
        <f t="shared" si="12"/>
        <v>4</v>
      </c>
      <c r="AF13">
        <f t="shared" si="13"/>
        <v>3</v>
      </c>
    </row>
    <row r="14" spans="1:32" x14ac:dyDescent="0.2">
      <c r="A14" t="s">
        <v>40</v>
      </c>
      <c r="B14">
        <f>IF(Processing_data!$I$4="","",Processing_data!$I$4/Processing_data!$AJ$4)</f>
        <v>0.31300813008130079</v>
      </c>
      <c r="C14">
        <f>IF(Processing_data!$I$5="","",Processing_data!$I$5/Processing_data!$AJ$5)</f>
        <v>0.25283018867924528</v>
      </c>
      <c r="D14">
        <f>IF(Processing_data!$I$6="","",Processing_data!$I$6/Processing_data!$AJ$6)</f>
        <v>8.9141989369779809E-2</v>
      </c>
      <c r="E14">
        <f>IF(Processing_data!$I$7="","",Processing_data!$I$7/Processing_data!$AJ$7)</f>
        <v>0.11670353982300885</v>
      </c>
      <c r="F14">
        <f>IF(Processing_data!$I$8="","",Processing_data!$I$8/Processing_data!$AJ$8)</f>
        <v>9.7668928887577458E-2</v>
      </c>
      <c r="G14">
        <f>IF(Processing_data!$I$9="","",Processing_data!$I$9/Processing_data!$AJ$9)</f>
        <v>0.19140477092010602</v>
      </c>
      <c r="H14">
        <f>IF(Processing_data!$I$10="","",Processing_data!$I$10/Processing_data!$AJ$10)</f>
        <v>0.34334635025533194</v>
      </c>
      <c r="I14">
        <f>IF(Processing_data!$I$11="","",Processing_data!$I$11/Processing_data!$AJ$11)</f>
        <v>0.30627380236520341</v>
      </c>
      <c r="J14">
        <f>IF(Processing_data!$I$12="","",Processing_data!$I$12/Processing_data!$AJ$12)</f>
        <v>0.75587099467696484</v>
      </c>
      <c r="K14">
        <f>IF(Processing_data!$I$13="","",Processing_data!$I$13/Processing_data!$AJ$13)</f>
        <v>0.15892180261125929</v>
      </c>
      <c r="L14">
        <f>IF(Processing_data!$I$14="","",Processing_data!$I$14/Processing_data!$AJ$14)</f>
        <v>0.2372990353697749</v>
      </c>
      <c r="M14">
        <f>IF(Processing_data!$I$15="","",Processing_data!$I$15/Processing_data!$AJ$15)</f>
        <v>0.46793885298040422</v>
      </c>
      <c r="N14">
        <f>IF(Processing_data!$I$16="","",Processing_data!$I$16/Processing_data!$AJ$16)</f>
        <v>0.21343999999999999</v>
      </c>
      <c r="O14">
        <f>IF(Processing_data!$I$17="","",Processing_data!$I$17/Processing_data!$AJ$17)</f>
        <v>0.20353349673202614</v>
      </c>
      <c r="P14">
        <f>IF(Processing_data!$I$18="","",Processing_data!$I$18/Processing_data!$AJ$18)</f>
        <v>0.17729885057471265</v>
      </c>
      <c r="Q14">
        <f>IF(Processing_data!$I$19="","",Processing_data!$I$19/Processing_data!$AJ$19)</f>
        <v>0.1782477341389728</v>
      </c>
      <c r="R14">
        <f>IF(Processing_data!$I$20="","",Processing_data!$I$20/Processing_data!$AJ$20)</f>
        <v>0.2943067510110961</v>
      </c>
      <c r="S14">
        <f t="shared" si="0"/>
        <v>0.21832676937677528</v>
      </c>
      <c r="T14">
        <f t="shared" si="1"/>
        <v>0.10718623435529315</v>
      </c>
      <c r="U14">
        <f t="shared" si="2"/>
        <v>0.28034164118021382</v>
      </c>
      <c r="V14">
        <f t="shared" si="3"/>
        <v>0.45739639864411208</v>
      </c>
      <c r="W14">
        <f t="shared" si="4"/>
        <v>0.30622596278339304</v>
      </c>
      <c r="X14">
        <f t="shared" si="5"/>
        <v>0.19041617365336938</v>
      </c>
      <c r="Y14">
        <f t="shared" si="6"/>
        <v>0.23627724257503446</v>
      </c>
      <c r="Z14">
        <f t="shared" si="7"/>
        <v>0.27389540126795742</v>
      </c>
      <c r="AA14">
        <f t="shared" si="8"/>
        <v>0.10718623435529315</v>
      </c>
      <c r="AB14" t="str">
        <f t="shared" si="9"/>
        <v>L1</v>
      </c>
      <c r="AC14">
        <f t="shared" si="10"/>
        <v>0.89287449374211725</v>
      </c>
      <c r="AD14">
        <f t="shared" si="11"/>
        <v>0.24455421774542155</v>
      </c>
      <c r="AE14">
        <f t="shared" si="12"/>
        <v>2</v>
      </c>
      <c r="AF14">
        <f t="shared" si="13"/>
        <v>10</v>
      </c>
    </row>
    <row r="15" spans="1:32" x14ac:dyDescent="0.2">
      <c r="A15" t="s">
        <v>130</v>
      </c>
      <c r="B15">
        <f>IF(Processing_data!$AI$4="","",Processing_data!$AI$4/Processing_data!$AJ$4)</f>
        <v>0.30713640469738029</v>
      </c>
      <c r="C15">
        <f>IF(Processing_data!$AI$5="","",Processing_data!$AI$5/Processing_data!$AJ$5)</f>
        <v>0.1037735849056604</v>
      </c>
      <c r="D15">
        <f>IF(Processing_data!$AI$6="","",Processing_data!$AI$6/Processing_data!$AJ$6)</f>
        <v>0.1108580106302202</v>
      </c>
      <c r="E15">
        <f>IF(Processing_data!$AI$7="","",Processing_data!$AI$7/Processing_data!$AJ$7)</f>
        <v>0.27654867256637172</v>
      </c>
      <c r="F15">
        <f>IF(Processing_data!$AI$8="","",Processing_data!$AI$8/Processing_data!$AJ$8)</f>
        <v>0.19179699026261435</v>
      </c>
      <c r="G15">
        <f>IF(Processing_data!$AI$9="","",Processing_data!$AI$9/Processing_data!$AJ$9)</f>
        <v>0.59825823551684976</v>
      </c>
      <c r="H15">
        <f>IF(Processing_data!$AI$10="","",Processing_data!$AI$10/Processing_data!$AJ$10)</f>
        <v>0.31991589065785525</v>
      </c>
      <c r="I15">
        <f>IF(Processing_data!$AI$11="","",Processing_data!$AI$11/Processing_data!$AJ$11)</f>
        <v>0.18841451192623773</v>
      </c>
      <c r="J15">
        <f>IF(Processing_data!$AI$12="","",Processing_data!$AI$12/Processing_data!$AJ$12)</f>
        <v>0.47907316564032981</v>
      </c>
      <c r="K15">
        <f>IF(Processing_data!$AI$13="","",Processing_data!$AI$13/Processing_data!$AJ$13)</f>
        <v>0.23725958163695068</v>
      </c>
      <c r="L15">
        <f>IF(Processing_data!$AI$14="","",Processing_data!$AI$14/Processing_data!$AJ$14)</f>
        <v>0.27009646302250806</v>
      </c>
      <c r="M15">
        <f>IF(Processing_data!$AI$15="","",Processing_data!$AI$15/Processing_data!$AJ$15)</f>
        <v>0.44116138298963786</v>
      </c>
      <c r="N15">
        <f>IF(Processing_data!$AI$16="","",Processing_data!$AI$16/Processing_data!$AJ$16)</f>
        <v>0.22080000000000002</v>
      </c>
      <c r="O15">
        <f>IF(Processing_data!$AI$17="","",Processing_data!$AI$17/Processing_data!$AJ$17)</f>
        <v>0.38602941176470584</v>
      </c>
      <c r="P15">
        <f>IF(Processing_data!$AI$18="","",Processing_data!$AI$18/Processing_data!$AJ$18)</f>
        <v>0.18965517241379312</v>
      </c>
      <c r="Q15">
        <f>IF(Processing_data!$AI$19="","",Processing_data!$AI$19/Processing_data!$AJ$19)</f>
        <v>0.18882175226586104</v>
      </c>
      <c r="R15">
        <f>IF(Processing_data!$AI$20="","",Processing_data!$AI$20/Processing_data!$AJ$20)</f>
        <v>0.28829202530332881</v>
      </c>
      <c r="S15">
        <f t="shared" si="0"/>
        <v>0.17392266674442028</v>
      </c>
      <c r="T15">
        <f t="shared" si="1"/>
        <v>0.23417283141449302</v>
      </c>
      <c r="U15">
        <f t="shared" si="2"/>
        <v>0.36886287936698087</v>
      </c>
      <c r="V15">
        <f t="shared" si="3"/>
        <v>0.35816637363864023</v>
      </c>
      <c r="W15">
        <f t="shared" si="4"/>
        <v>0.31068594867071531</v>
      </c>
      <c r="X15">
        <f t="shared" si="5"/>
        <v>0.2878422920892495</v>
      </c>
      <c r="Y15">
        <f t="shared" si="6"/>
        <v>0.23855688878459491</v>
      </c>
      <c r="Z15">
        <f t="shared" si="7"/>
        <v>0.28916213996704992</v>
      </c>
      <c r="AA15">
        <f t="shared" si="8"/>
        <v>0.17392266674442028</v>
      </c>
      <c r="AB15" t="str">
        <f t="shared" si="9"/>
        <v>C</v>
      </c>
      <c r="AC15">
        <f t="shared" si="10"/>
        <v>0.91956906669776806</v>
      </c>
      <c r="AD15">
        <f t="shared" si="11"/>
        <v>0.26590455917382949</v>
      </c>
      <c r="AE15">
        <f t="shared" si="12"/>
        <v>2</v>
      </c>
      <c r="AF15">
        <f t="shared" si="13"/>
        <v>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2"/>
  <sheetViews>
    <sheetView workbookViewId="0"/>
  </sheetViews>
  <sheetFormatPr baseColWidth="10" defaultColWidth="8.83203125" defaultRowHeight="15" x14ac:dyDescent="0.2"/>
  <cols>
    <col min="1" max="1" width="44" customWidth="1"/>
  </cols>
  <sheetData>
    <row r="1" spans="1:7" ht="17" x14ac:dyDescent="0.2">
      <c r="A1" s="1" t="s">
        <v>215</v>
      </c>
    </row>
    <row r="3" spans="1:7" x14ac:dyDescent="0.2">
      <c r="A3" s="3" t="s">
        <v>125</v>
      </c>
      <c r="B3" s="3" t="s">
        <v>142</v>
      </c>
      <c r="C3" s="3" t="s">
        <v>156</v>
      </c>
      <c r="D3" s="3" t="s">
        <v>163</v>
      </c>
      <c r="E3" s="3" t="s">
        <v>174</v>
      </c>
      <c r="F3" s="3" t="s">
        <v>183</v>
      </c>
      <c r="G3" s="3" t="s">
        <v>212</v>
      </c>
    </row>
    <row r="4" spans="1:7" x14ac:dyDescent="0.2">
      <c r="A4" t="s">
        <v>59</v>
      </c>
      <c r="B4">
        <f>Processing_index!$S$6</f>
        <v>0.4430279712764193</v>
      </c>
      <c r="C4">
        <f>Processing_index!$T$6</f>
        <v>0.62846775225416951</v>
      </c>
      <c r="D4">
        <f>Processing_index!$U$6</f>
        <v>0.34867747763835871</v>
      </c>
      <c r="E4">
        <f>Processing_index!$V$6</f>
        <v>0.77338574140818706</v>
      </c>
      <c r="F4">
        <f>Processing_index!$W$6</f>
        <v>0.52377838567197033</v>
      </c>
      <c r="G4">
        <f>Processing_index!$AD$6</f>
        <v>0.53774529184286435</v>
      </c>
    </row>
    <row r="5" spans="1:7" x14ac:dyDescent="0.2">
      <c r="A5" t="s">
        <v>51</v>
      </c>
      <c r="B5">
        <f>Processing_index!$S$7</f>
        <v>0.29262275048702674</v>
      </c>
      <c r="C5">
        <f>Processing_index!$T$7</f>
        <v>0.29587345968346318</v>
      </c>
      <c r="D5">
        <f>Processing_index!$U$7</f>
        <v>0.5332085800536488</v>
      </c>
      <c r="E5">
        <f>Processing_index!$V$7</f>
        <v>0.60598341167382808</v>
      </c>
      <c r="F5">
        <f>Processing_index!$W$7</f>
        <v>0.47884894822063589</v>
      </c>
      <c r="G5">
        <f>Processing_index!$AD$7</f>
        <v>0.4267659531137234</v>
      </c>
    </row>
    <row r="6" spans="1:7" x14ac:dyDescent="0.2">
      <c r="A6" t="s">
        <v>61</v>
      </c>
      <c r="B6">
        <f>Processing_index!$S$8</f>
        <v>0.44050748201577455</v>
      </c>
      <c r="C6">
        <f>Processing_index!$T$8</f>
        <v>0.24148819253858789</v>
      </c>
      <c r="D6">
        <f>Processing_index!$U$8</f>
        <v>0.28762351537264413</v>
      </c>
      <c r="E6">
        <f>Processing_index!$V$8</f>
        <v>0.55737050241713504</v>
      </c>
      <c r="F6">
        <f>Processing_index!$W$8</f>
        <v>0.37810403578378637</v>
      </c>
      <c r="G6">
        <f>Processing_index!$AD$8</f>
        <v>0.36067054506352481</v>
      </c>
    </row>
    <row r="7" spans="1:7" x14ac:dyDescent="0.2">
      <c r="A7" t="s">
        <v>42</v>
      </c>
      <c r="B7">
        <f>Processing_index!$S$9</f>
        <v>0.56305678509086798</v>
      </c>
      <c r="C7">
        <f>Processing_index!$T$9</f>
        <v>0.44228904942330344</v>
      </c>
      <c r="D7">
        <f>Processing_index!$U$9</f>
        <v>0.67117889658153684</v>
      </c>
      <c r="E7">
        <f>Processing_index!$V$9</f>
        <v>0.72541215670263681</v>
      </c>
      <c r="F7">
        <f>Processing_index!$W$9</f>
        <v>0.81207893092012473</v>
      </c>
      <c r="G7">
        <f>Processing_index!$AD$9</f>
        <v>0.64280316374369395</v>
      </c>
    </row>
    <row r="8" spans="1:7" x14ac:dyDescent="0.2">
      <c r="A8" t="s">
        <v>64</v>
      </c>
      <c r="B8">
        <f>Processing_index!$S$10</f>
        <v>0.35071163000096101</v>
      </c>
      <c r="C8">
        <f>Processing_index!$T$10</f>
        <v>0.23499113477492253</v>
      </c>
      <c r="D8">
        <f>Processing_index!$U$10</f>
        <v>0.60004571329783574</v>
      </c>
      <c r="E8">
        <f>Processing_index!$V$10</f>
        <v>0.55285895708554278</v>
      </c>
      <c r="F8">
        <f>Processing_index!$W$10</f>
        <v>0.62284485524938493</v>
      </c>
      <c r="G8">
        <f>Processing_index!$AD$10</f>
        <v>0.44584051764466737</v>
      </c>
    </row>
    <row r="9" spans="1:7" x14ac:dyDescent="0.2">
      <c r="A9" t="s">
        <v>54</v>
      </c>
      <c r="B9">
        <f>Processing_index!$S$11</f>
        <v>0.69463420725364811</v>
      </c>
      <c r="C9">
        <f>Processing_index!$T$11</f>
        <v>0.39037289108176643</v>
      </c>
      <c r="D9">
        <f>Processing_index!$U$11</f>
        <v>0.75697314098589785</v>
      </c>
      <c r="E9">
        <f>Processing_index!$V$11</f>
        <v>0.8994049098912259</v>
      </c>
      <c r="F9">
        <f>Processing_index!$W$11</f>
        <v>0.88061902134286851</v>
      </c>
      <c r="G9">
        <f>Processing_index!$AD$11</f>
        <v>0.72440083411108147</v>
      </c>
    </row>
    <row r="10" spans="1:7" x14ac:dyDescent="0.2">
      <c r="A10" t="s">
        <v>56</v>
      </c>
      <c r="B10">
        <f>Processing_index!$S$12</f>
        <v>0.71082122228055045</v>
      </c>
      <c r="C10">
        <f>Processing_index!$T$12</f>
        <v>0.26817044733481826</v>
      </c>
      <c r="D10">
        <f>Processing_index!$U$12</f>
        <v>0.5611371100196817</v>
      </c>
      <c r="E10">
        <f>Processing_index!$V$12</f>
        <v>0.70371201818939955</v>
      </c>
      <c r="F10">
        <f>Processing_index!$W$12</f>
        <v>0.59637572515620552</v>
      </c>
      <c r="G10">
        <f>Processing_index!$AD$12</f>
        <v>0.54376977974634855</v>
      </c>
    </row>
    <row r="11" spans="1:7" x14ac:dyDescent="0.2">
      <c r="A11" t="s">
        <v>45</v>
      </c>
      <c r="B11">
        <f>Processing_index!$S$13</f>
        <v>0.57839515879101233</v>
      </c>
      <c r="C11">
        <f>Processing_index!$T$13</f>
        <v>0.37003901547693341</v>
      </c>
      <c r="D11">
        <f>Processing_index!$U$13</f>
        <v>0.62584075418150009</v>
      </c>
      <c r="E11">
        <f>Processing_index!$V$13</f>
        <v>0.90826853207809577</v>
      </c>
      <c r="F11">
        <f>Processing_index!$W$13</f>
        <v>0.61094534851133464</v>
      </c>
      <c r="G11">
        <f>Processing_index!$AD$13</f>
        <v>0.61747002179946153</v>
      </c>
    </row>
    <row r="12" spans="1:7" x14ac:dyDescent="0.2">
      <c r="A12" t="s">
        <v>40</v>
      </c>
      <c r="B12">
        <f>Processing_index!$S$14</f>
        <v>0.21832676937677528</v>
      </c>
      <c r="C12">
        <f>Processing_index!$T$14</f>
        <v>0.10718623435529315</v>
      </c>
      <c r="D12">
        <f>Processing_index!$U$14</f>
        <v>0.28034164118021382</v>
      </c>
      <c r="E12">
        <f>Processing_index!$V$14</f>
        <v>0.45739639864411208</v>
      </c>
      <c r="F12">
        <f>Processing_index!$W$14</f>
        <v>0.30622596278339304</v>
      </c>
      <c r="G12">
        <f>Processing_index!$AD$14</f>
        <v>0.24455421774542155</v>
      </c>
    </row>
    <row r="13" spans="1:7" x14ac:dyDescent="0.2">
      <c r="A13" t="s">
        <v>130</v>
      </c>
      <c r="B13">
        <f>Processing_index!$S$15</f>
        <v>0.17392266674442028</v>
      </c>
      <c r="C13">
        <f>Processing_index!$T$15</f>
        <v>0.23417283141449302</v>
      </c>
      <c r="D13">
        <f>Processing_index!$U$15</f>
        <v>0.36886287936698087</v>
      </c>
      <c r="E13">
        <f>Processing_index!$V$15</f>
        <v>0.35816637363864023</v>
      </c>
      <c r="F13">
        <f>Processing_index!$W$15</f>
        <v>0.31068594867071531</v>
      </c>
      <c r="G13">
        <f>Processing_index!$AD$15</f>
        <v>0.26590455917382949</v>
      </c>
    </row>
    <row r="15" spans="1:7" x14ac:dyDescent="0.2">
      <c r="A15" s="3" t="s">
        <v>216</v>
      </c>
      <c r="B15">
        <f>SQRT(SUMPRODUCT(B4:B13,B4:B13))</f>
        <v>1.5219134054474834</v>
      </c>
      <c r="C15">
        <f>SQRT(SUMPRODUCT(C4:C13,C4:C13))</f>
        <v>1.1041878749854932</v>
      </c>
      <c r="D15">
        <f>SQRT(SUMPRODUCT(D4:D13,D4:D13))</f>
        <v>1.6713353136573739</v>
      </c>
      <c r="E15">
        <f>SQRT(SUMPRODUCT(E4:E13,E4:E13))</f>
        <v>2.1387999533069371</v>
      </c>
      <c r="F15">
        <f>SQRT(SUMPRODUCT(F4:F13,F4:F13))</f>
        <v>1.8408473218326031</v>
      </c>
    </row>
    <row r="16" spans="1:7" x14ac:dyDescent="0.2">
      <c r="A16" s="3" t="s">
        <v>217</v>
      </c>
      <c r="B16">
        <f>-SUMPRODUCT(B4:B13/SUM(B4:B13)*LN(B4:B13/SUM(B4:B13)))/LN(10)</f>
        <v>0.96315915057563095</v>
      </c>
      <c r="C16">
        <f>-SUMPRODUCT(C4:C13/SUM(C4:C13)*LN(C4:C13/SUM(C4:C13)))/LN(10)</f>
        <v>0.96159334042404132</v>
      </c>
      <c r="D16">
        <f>-SUMPRODUCT(D4:D13/SUM(D4:D13)*LN(D4:D13/SUM(D4:D13)))/LN(10)</f>
        <v>0.97693325999347957</v>
      </c>
      <c r="E16">
        <f>-SUMPRODUCT(E4:E13/SUM(E4:E13)*LN(E4:E13/SUM(E4:E13)))/LN(10)</f>
        <v>0.9846036360160304</v>
      </c>
      <c r="F16">
        <f>-SUMPRODUCT(F4:F13/SUM(F4:F13)*LN(F4:F13/SUM(F4:F13)))/LN(10)</f>
        <v>0.97561376221145268</v>
      </c>
    </row>
    <row r="17" spans="1:10" x14ac:dyDescent="0.2">
      <c r="A17" s="3" t="s">
        <v>218</v>
      </c>
      <c r="B17">
        <f>1-B16</f>
        <v>3.6840849424369049E-2</v>
      </c>
      <c r="C17">
        <f>1-C16</f>
        <v>3.8406659575958679E-2</v>
      </c>
      <c r="D17">
        <f>1-D16</f>
        <v>2.3066740006520425E-2</v>
      </c>
      <c r="E17">
        <f>1-E16</f>
        <v>1.5396363983969596E-2</v>
      </c>
      <c r="F17">
        <f>1-F16</f>
        <v>2.4386237788547316E-2</v>
      </c>
    </row>
    <row r="18" spans="1:10" x14ac:dyDescent="0.2">
      <c r="A18" s="3" t="s">
        <v>219</v>
      </c>
      <c r="B18">
        <f>B17/SUM($B$17:$F$17)</f>
        <v>0.26677544937812547</v>
      </c>
      <c r="C18">
        <f>C17/SUM($B$17:$F$17)</f>
        <v>0.27811394220220365</v>
      </c>
      <c r="D18">
        <f>D17/SUM($B$17:$F$17)</f>
        <v>0.16703306321860847</v>
      </c>
      <c r="E18">
        <f>E17/SUM($B$17:$F$17)</f>
        <v>0.11148960962598704</v>
      </c>
      <c r="F18">
        <f>F17/SUM($B$17:$F$17)</f>
        <v>0.17658793557507538</v>
      </c>
    </row>
    <row r="19" spans="1:10" x14ac:dyDescent="0.2">
      <c r="A19" s="3" t="s">
        <v>220</v>
      </c>
      <c r="B19">
        <f>1/5</f>
        <v>0.2</v>
      </c>
      <c r="C19">
        <f>1/5</f>
        <v>0.2</v>
      </c>
      <c r="D19">
        <f>1/5</f>
        <v>0.2</v>
      </c>
      <c r="E19">
        <f>1/5</f>
        <v>0.2</v>
      </c>
      <c r="F19">
        <f>1/5</f>
        <v>0.2</v>
      </c>
    </row>
    <row r="21" spans="1:10" x14ac:dyDescent="0.2">
      <c r="A21" s="3" t="s">
        <v>221</v>
      </c>
    </row>
    <row r="22" spans="1:10" x14ac:dyDescent="0.2">
      <c r="A22" s="3" t="s">
        <v>125</v>
      </c>
      <c r="B22" s="3" t="s">
        <v>142</v>
      </c>
      <c r="C22" s="3" t="s">
        <v>156</v>
      </c>
      <c r="D22" s="3" t="s">
        <v>163</v>
      </c>
      <c r="E22" s="3" t="s">
        <v>174</v>
      </c>
      <c r="F22" s="3" t="s">
        <v>183</v>
      </c>
      <c r="G22" s="3" t="s">
        <v>222</v>
      </c>
      <c r="H22" s="3" t="s">
        <v>223</v>
      </c>
      <c r="I22" s="3" t="s">
        <v>224</v>
      </c>
      <c r="J22" s="3" t="s">
        <v>225</v>
      </c>
    </row>
    <row r="23" spans="1:10" x14ac:dyDescent="0.2">
      <c r="A23" t="s">
        <v>59</v>
      </c>
      <c r="B23">
        <f t="shared" ref="B23:F32" si="0">B$18*B4/B$15</f>
        <v>7.765815433473712E-2</v>
      </c>
      <c r="C23">
        <f t="shared" si="0"/>
        <v>0.15829339199061687</v>
      </c>
      <c r="D23">
        <f t="shared" si="0"/>
        <v>3.4846787888317389E-2</v>
      </c>
      <c r="E23">
        <f t="shared" si="0"/>
        <v>4.0314417562327932E-2</v>
      </c>
      <c r="F23">
        <f t="shared" si="0"/>
        <v>5.0244766487521714E-2</v>
      </c>
      <c r="G23">
        <f t="shared" ref="G23:G32" si="1">SQRT(SUMPRODUCT((B23:F23-$B$33:$F$33)^2))</f>
        <v>7.1342316696611674E-2</v>
      </c>
      <c r="H23">
        <f t="shared" ref="H23:H32" si="2">SQRT(SUMPRODUCT((B23:F23-$B$34:$F$34)^2))</f>
        <v>0.14287919287958989</v>
      </c>
      <c r="I23">
        <f t="shared" ref="I23:I32" si="3">H23/(G23+H23)</f>
        <v>0.66696940546376726</v>
      </c>
      <c r="J23">
        <f t="shared" ref="J23:J32" si="4">1+COUNTIF($I$23:$I$32,"&gt;"&amp;I23)</f>
        <v>3</v>
      </c>
    </row>
    <row r="24" spans="1:10" x14ac:dyDescent="0.2">
      <c r="A24" t="s">
        <v>51</v>
      </c>
      <c r="B24">
        <f t="shared" si="0"/>
        <v>5.1293697446923109E-2</v>
      </c>
      <c r="C24">
        <f t="shared" si="0"/>
        <v>7.4522222286360268E-2</v>
      </c>
      <c r="D24">
        <f t="shared" si="0"/>
        <v>5.3288805503611654E-2</v>
      </c>
      <c r="E24">
        <f t="shared" si="0"/>
        <v>3.1588206228861514E-2</v>
      </c>
      <c r="F24">
        <f t="shared" si="0"/>
        <v>4.593479655575021E-2</v>
      </c>
      <c r="G24">
        <f t="shared" si="1"/>
        <v>0.12093444245303833</v>
      </c>
      <c r="H24">
        <f t="shared" si="2"/>
        <v>6.1410805192812078E-2</v>
      </c>
      <c r="I24">
        <f t="shared" si="3"/>
        <v>0.33678314069409521</v>
      </c>
      <c r="J24">
        <f t="shared" si="4"/>
        <v>7</v>
      </c>
    </row>
    <row r="25" spans="1:10" x14ac:dyDescent="0.2">
      <c r="A25" t="s">
        <v>61</v>
      </c>
      <c r="B25">
        <f t="shared" si="0"/>
        <v>7.7216339016760116E-2</v>
      </c>
      <c r="C25">
        <f t="shared" si="0"/>
        <v>6.0824099542909599E-2</v>
      </c>
      <c r="D25">
        <f t="shared" si="0"/>
        <v>2.8745061768165384E-2</v>
      </c>
      <c r="E25">
        <f t="shared" si="0"/>
        <v>2.9054152369625032E-2</v>
      </c>
      <c r="F25">
        <f t="shared" si="0"/>
        <v>3.6270586006662234E-2</v>
      </c>
      <c r="G25">
        <f t="shared" si="1"/>
        <v>0.12885638017059686</v>
      </c>
      <c r="H25">
        <f t="shared" si="2"/>
        <v>5.9023767616527216E-2</v>
      </c>
      <c r="I25">
        <f t="shared" si="3"/>
        <v>0.31415648918588018</v>
      </c>
      <c r="J25">
        <f t="shared" si="4"/>
        <v>8</v>
      </c>
    </row>
    <row r="26" spans="1:10" x14ac:dyDescent="0.2">
      <c r="A26" t="s">
        <v>42</v>
      </c>
      <c r="B26">
        <f t="shared" si="0"/>
        <v>9.8697945842623827E-2</v>
      </c>
      <c r="C26">
        <f t="shared" si="0"/>
        <v>0.11140020092105818</v>
      </c>
      <c r="D26">
        <f t="shared" si="0"/>
        <v>6.7077543415493365E-2</v>
      </c>
      <c r="E26">
        <f t="shared" si="0"/>
        <v>3.7813689888890646E-2</v>
      </c>
      <c r="F26">
        <f t="shared" si="0"/>
        <v>7.7900725516137845E-2</v>
      </c>
      <c r="G26">
        <f t="shared" si="1"/>
        <v>5.5474895426923895E-2</v>
      </c>
      <c r="H26">
        <f t="shared" si="2"/>
        <v>0.12658394818289273</v>
      </c>
      <c r="I26">
        <f t="shared" si="3"/>
        <v>0.695291399599263</v>
      </c>
      <c r="J26">
        <f t="shared" si="4"/>
        <v>2</v>
      </c>
    </row>
    <row r="27" spans="1:10" x14ac:dyDescent="0.2">
      <c r="A27" t="s">
        <v>64</v>
      </c>
      <c r="B27">
        <f t="shared" si="0"/>
        <v>6.1476068454848605E-2</v>
      </c>
      <c r="C27">
        <f t="shared" si="0"/>
        <v>5.9187672999652954E-2</v>
      </c>
      <c r="D27">
        <f t="shared" si="0"/>
        <v>5.9968501080734767E-2</v>
      </c>
      <c r="E27">
        <f t="shared" si="0"/>
        <v>2.8818978235152354E-2</v>
      </c>
      <c r="F27">
        <f t="shared" si="0"/>
        <v>5.9747968159875001E-2</v>
      </c>
      <c r="G27">
        <f t="shared" si="1"/>
        <v>0.12250373366479747</v>
      </c>
      <c r="H27">
        <f t="shared" si="2"/>
        <v>6.3583982273989093E-2</v>
      </c>
      <c r="I27">
        <f t="shared" si="3"/>
        <v>0.34168822994691922</v>
      </c>
      <c r="J27">
        <f t="shared" si="4"/>
        <v>6</v>
      </c>
    </row>
    <row r="28" spans="1:10" x14ac:dyDescent="0.2">
      <c r="A28" t="s">
        <v>54</v>
      </c>
      <c r="B28">
        <f t="shared" si="0"/>
        <v>0.12176208720562744</v>
      </c>
      <c r="C28">
        <f t="shared" si="0"/>
        <v>9.8323977401986867E-2</v>
      </c>
      <c r="D28">
        <f t="shared" si="0"/>
        <v>7.5651810549254253E-2</v>
      </c>
      <c r="E28">
        <f t="shared" si="0"/>
        <v>4.6883441410417205E-2</v>
      </c>
      <c r="F28">
        <f t="shared" si="0"/>
        <v>8.4475607054837185E-2</v>
      </c>
      <c r="G28">
        <f t="shared" si="1"/>
        <v>6.0038280126116221E-2</v>
      </c>
      <c r="H28">
        <f t="shared" si="2"/>
        <v>0.13971305326550071</v>
      </c>
      <c r="I28">
        <f t="shared" si="3"/>
        <v>0.69943489684542004</v>
      </c>
      <c r="J28">
        <f t="shared" si="4"/>
        <v>1</v>
      </c>
    </row>
    <row r="29" spans="1:10" x14ac:dyDescent="0.2">
      <c r="A29" t="s">
        <v>56</v>
      </c>
      <c r="B29">
        <f t="shared" si="0"/>
        <v>0.12459950107716282</v>
      </c>
      <c r="C29">
        <f t="shared" si="0"/>
        <v>6.7544610822134421E-2</v>
      </c>
      <c r="D29">
        <f t="shared" si="0"/>
        <v>5.6079979646405785E-2</v>
      </c>
      <c r="E29">
        <f t="shared" si="0"/>
        <v>3.6682522867903029E-2</v>
      </c>
      <c r="F29">
        <f t="shared" si="0"/>
        <v>5.720884990482631E-2</v>
      </c>
      <c r="G29">
        <f t="shared" si="1"/>
        <v>9.7342552286006773E-2</v>
      </c>
      <c r="H29">
        <f t="shared" si="2"/>
        <v>0.11130112993775546</v>
      </c>
      <c r="I29">
        <f t="shared" si="3"/>
        <v>0.53345075562072053</v>
      </c>
      <c r="J29">
        <f t="shared" si="4"/>
        <v>5</v>
      </c>
    </row>
    <row r="30" spans="1:10" x14ac:dyDescent="0.2">
      <c r="A30" t="s">
        <v>45</v>
      </c>
      <c r="B30">
        <f t="shared" si="0"/>
        <v>0.10138660179501852</v>
      </c>
      <c r="C30">
        <f t="shared" si="0"/>
        <v>9.3202444705584434E-2</v>
      </c>
      <c r="D30">
        <f t="shared" si="0"/>
        <v>6.2546454564658446E-2</v>
      </c>
      <c r="E30">
        <f t="shared" si="0"/>
        <v>4.734547703743245E-2</v>
      </c>
      <c r="F30">
        <f t="shared" si="0"/>
        <v>5.8606477877485852E-2</v>
      </c>
      <c r="G30">
        <f t="shared" si="1"/>
        <v>7.4944194647906637E-2</v>
      </c>
      <c r="H30">
        <f t="shared" si="2"/>
        <v>0.11081018081066737</v>
      </c>
      <c r="I30">
        <f t="shared" si="3"/>
        <v>0.59654143024684603</v>
      </c>
      <c r="J30">
        <f t="shared" si="4"/>
        <v>4</v>
      </c>
    </row>
    <row r="31" spans="1:10" x14ac:dyDescent="0.2">
      <c r="A31" t="s">
        <v>40</v>
      </c>
      <c r="B31">
        <f t="shared" si="0"/>
        <v>3.8270391602627497E-2</v>
      </c>
      <c r="C31">
        <f t="shared" si="0"/>
        <v>2.6997204788860318E-2</v>
      </c>
      <c r="D31">
        <f t="shared" si="0"/>
        <v>2.801731208059819E-2</v>
      </c>
      <c r="E31">
        <f t="shared" si="0"/>
        <v>2.384278429140501E-2</v>
      </c>
      <c r="F31">
        <f t="shared" si="0"/>
        <v>2.9375500046128544E-2</v>
      </c>
      <c r="G31">
        <f t="shared" si="1"/>
        <v>0.17478228662948292</v>
      </c>
      <c r="H31">
        <f t="shared" si="2"/>
        <v>9.3455663275608218E-3</v>
      </c>
      <c r="I31">
        <f t="shared" si="3"/>
        <v>5.0755853486984956E-2</v>
      </c>
      <c r="J31">
        <f t="shared" si="4"/>
        <v>10</v>
      </c>
    </row>
    <row r="32" spans="1:10" x14ac:dyDescent="0.2">
      <c r="A32" t="s">
        <v>130</v>
      </c>
      <c r="B32">
        <f t="shared" si="0"/>
        <v>3.0486818377253425E-2</v>
      </c>
      <c r="C32">
        <f t="shared" si="0"/>
        <v>5.898156534474925E-2</v>
      </c>
      <c r="D32">
        <f t="shared" si="0"/>
        <v>3.6864114666180912E-2</v>
      </c>
      <c r="E32">
        <f t="shared" si="0"/>
        <v>1.8670202940852993E-2</v>
      </c>
      <c r="F32">
        <f t="shared" si="0"/>
        <v>2.9803335473431749E-2</v>
      </c>
      <c r="G32">
        <f t="shared" si="1"/>
        <v>0.15503499583324853</v>
      </c>
      <c r="H32">
        <f t="shared" si="2"/>
        <v>3.3188074353752928E-2</v>
      </c>
      <c r="I32">
        <f t="shared" si="3"/>
        <v>0.17632309536115978</v>
      </c>
      <c r="J32">
        <f t="shared" si="4"/>
        <v>9</v>
      </c>
    </row>
    <row r="33" spans="1:10" x14ac:dyDescent="0.2">
      <c r="A33" t="s">
        <v>226</v>
      </c>
      <c r="B33">
        <f>MAX(B23:B32)</f>
        <v>0.12459950107716282</v>
      </c>
      <c r="C33">
        <f>MAX(C23:C32)</f>
        <v>0.15829339199061687</v>
      </c>
      <c r="D33">
        <f>MAX(D23:D32)</f>
        <v>7.5651810549254253E-2</v>
      </c>
      <c r="E33">
        <f>MAX(E23:E32)</f>
        <v>4.734547703743245E-2</v>
      </c>
      <c r="F33">
        <f>MAX(F23:F32)</f>
        <v>8.4475607054837185E-2</v>
      </c>
    </row>
    <row r="34" spans="1:10" x14ac:dyDescent="0.2">
      <c r="A34" t="s">
        <v>227</v>
      </c>
      <c r="B34">
        <f>MIN(B23:B32)</f>
        <v>3.0486818377253425E-2</v>
      </c>
      <c r="C34">
        <f>MIN(C23:C32)</f>
        <v>2.6997204788860318E-2</v>
      </c>
      <c r="D34">
        <f>MIN(D23:D32)</f>
        <v>2.801731208059819E-2</v>
      </c>
      <c r="E34">
        <f>MIN(E23:E32)</f>
        <v>1.8670202940852993E-2</v>
      </c>
      <c r="F34">
        <f>MIN(F23:F32)</f>
        <v>2.9375500046128544E-2</v>
      </c>
    </row>
    <row r="39" spans="1:10" x14ac:dyDescent="0.2">
      <c r="A39" s="3" t="s">
        <v>228</v>
      </c>
    </row>
    <row r="40" spans="1:10" x14ac:dyDescent="0.2">
      <c r="A40" s="3" t="s">
        <v>125</v>
      </c>
      <c r="B40" s="3" t="s">
        <v>142</v>
      </c>
      <c r="C40" s="3" t="s">
        <v>156</v>
      </c>
      <c r="D40" s="3" t="s">
        <v>163</v>
      </c>
      <c r="E40" s="3" t="s">
        <v>174</v>
      </c>
      <c r="F40" s="3" t="s">
        <v>183</v>
      </c>
      <c r="G40" s="3" t="s">
        <v>222</v>
      </c>
      <c r="H40" s="3" t="s">
        <v>223</v>
      </c>
      <c r="I40" s="3" t="s">
        <v>224</v>
      </c>
      <c r="J40" s="3" t="s">
        <v>225</v>
      </c>
    </row>
    <row r="41" spans="1:10" x14ac:dyDescent="0.2">
      <c r="A41" t="s">
        <v>59</v>
      </c>
      <c r="B41">
        <f t="shared" ref="B41:F50" si="5">B$19*B4/B$15</f>
        <v>5.8219865820310211E-2</v>
      </c>
      <c r="C41">
        <f t="shared" si="5"/>
        <v>0.11383348187235372</v>
      </c>
      <c r="D41">
        <f t="shared" si="5"/>
        <v>4.1724419365656761E-2</v>
      </c>
      <c r="E41">
        <f t="shared" si="5"/>
        <v>7.2319595875472625E-2</v>
      </c>
      <c r="F41">
        <f t="shared" si="5"/>
        <v>5.6906227850611502E-2</v>
      </c>
      <c r="G41">
        <f t="shared" ref="G41:G50" si="6">SQRT(SUMPRODUCT((B41:F41-$B$51:$F$51)^2))</f>
        <v>7.271693083977239E-2</v>
      </c>
      <c r="H41">
        <f t="shared" ref="H41:H50" si="7">SQRT(SUMPRODUCT((B41:F41-$B$52:$F$52)^2))</f>
        <v>0.11089932467017299</v>
      </c>
      <c r="I41">
        <f t="shared" ref="I41:I50" si="8">H41/(G41+H41)</f>
        <v>0.60397334844989392</v>
      </c>
      <c r="J41">
        <f t="shared" ref="J41:J50" si="9">1+COUNTIF($I$41:$I$50,"&gt;"&amp;I41)</f>
        <v>4</v>
      </c>
    </row>
    <row r="42" spans="1:10" x14ac:dyDescent="0.2">
      <c r="A42" t="s">
        <v>51</v>
      </c>
      <c r="B42">
        <f t="shared" si="5"/>
        <v>3.8454586107149483E-2</v>
      </c>
      <c r="C42">
        <f t="shared" si="5"/>
        <v>5.3591144475726181E-2</v>
      </c>
      <c r="D42">
        <f t="shared" si="5"/>
        <v>6.3806296162896403E-2</v>
      </c>
      <c r="E42">
        <f t="shared" si="5"/>
        <v>5.6665740125613706E-2</v>
      </c>
      <c r="F42">
        <f t="shared" si="5"/>
        <v>5.2024841228432948E-2</v>
      </c>
      <c r="G42">
        <f t="shared" si="6"/>
        <v>0.10035327969221169</v>
      </c>
      <c r="H42">
        <f t="shared" si="7"/>
        <v>5.6707485689503949E-2</v>
      </c>
      <c r="I42">
        <f t="shared" si="8"/>
        <v>0.36105443362436074</v>
      </c>
      <c r="J42">
        <f t="shared" si="9"/>
        <v>7</v>
      </c>
    </row>
    <row r="43" spans="1:10" x14ac:dyDescent="0.2">
      <c r="A43" t="s">
        <v>61</v>
      </c>
      <c r="B43">
        <f t="shared" si="5"/>
        <v>5.7888639450712182E-2</v>
      </c>
      <c r="C43">
        <f t="shared" si="5"/>
        <v>4.3740417370868263E-2</v>
      </c>
      <c r="D43">
        <f t="shared" si="5"/>
        <v>3.4418409402627796E-2</v>
      </c>
      <c r="E43">
        <f t="shared" si="5"/>
        <v>5.2119928425783668E-2</v>
      </c>
      <c r="F43">
        <f t="shared" si="5"/>
        <v>4.1079347678587022E-2</v>
      </c>
      <c r="G43">
        <f t="shared" si="6"/>
        <v>0.11570122878667437</v>
      </c>
      <c r="H43">
        <f t="shared" si="7"/>
        <v>4.7199408613571706E-2</v>
      </c>
      <c r="I43">
        <f t="shared" si="8"/>
        <v>0.28974354776527356</v>
      </c>
      <c r="J43">
        <f t="shared" si="9"/>
        <v>8</v>
      </c>
    </row>
    <row r="44" spans="1:10" x14ac:dyDescent="0.2">
      <c r="A44" t="s">
        <v>42</v>
      </c>
      <c r="B44">
        <f t="shared" si="5"/>
        <v>7.3993274922933491E-2</v>
      </c>
      <c r="C44">
        <f t="shared" si="5"/>
        <v>8.0111194741948097E-2</v>
      </c>
      <c r="D44">
        <f t="shared" si="5"/>
        <v>8.0316485997390885E-2</v>
      </c>
      <c r="E44">
        <f t="shared" si="5"/>
        <v>6.7833567658446045E-2</v>
      </c>
      <c r="F44">
        <f t="shared" si="5"/>
        <v>8.8228819553778398E-2</v>
      </c>
      <c r="G44">
        <f t="shared" si="6"/>
        <v>4.4356389336901815E-2</v>
      </c>
      <c r="H44">
        <f t="shared" si="7"/>
        <v>0.11263347061694576</v>
      </c>
      <c r="I44">
        <f t="shared" si="8"/>
        <v>0.71745697875046288</v>
      </c>
      <c r="J44">
        <f t="shared" si="9"/>
        <v>2</v>
      </c>
    </row>
    <row r="45" spans="1:10" x14ac:dyDescent="0.2">
      <c r="A45" t="s">
        <v>64</v>
      </c>
      <c r="B45">
        <f t="shared" si="5"/>
        <v>4.6088250322999465E-2</v>
      </c>
      <c r="C45">
        <f t="shared" si="5"/>
        <v>4.2563614417158835E-2</v>
      </c>
      <c r="D45">
        <f t="shared" si="5"/>
        <v>7.180434810352436E-2</v>
      </c>
      <c r="E45">
        <f t="shared" si="5"/>
        <v>5.1698052099798469E-2</v>
      </c>
      <c r="F45">
        <f t="shared" si="5"/>
        <v>6.7669365934088385E-2</v>
      </c>
      <c r="G45">
        <f t="shared" si="6"/>
        <v>9.7777267072004875E-2</v>
      </c>
      <c r="H45">
        <f t="shared" si="7"/>
        <v>6.3671115695492511E-2</v>
      </c>
      <c r="I45">
        <f t="shared" si="8"/>
        <v>0.39437444094553487</v>
      </c>
      <c r="J45">
        <f t="shared" si="9"/>
        <v>6</v>
      </c>
    </row>
    <row r="46" spans="1:10" x14ac:dyDescent="0.2">
      <c r="A46" t="s">
        <v>54</v>
      </c>
      <c r="B46">
        <f t="shared" si="5"/>
        <v>9.128432731682351E-2</v>
      </c>
      <c r="C46">
        <f t="shared" si="5"/>
        <v>7.0707693849091605E-2</v>
      </c>
      <c r="D46">
        <f t="shared" si="5"/>
        <v>9.0583036785050364E-2</v>
      </c>
      <c r="E46">
        <f t="shared" si="5"/>
        <v>8.4103696421032534E-2</v>
      </c>
      <c r="F46">
        <f t="shared" si="5"/>
        <v>9.5675400224521978E-2</v>
      </c>
      <c r="G46">
        <f t="shared" si="6"/>
        <v>4.3186172764907764E-2</v>
      </c>
      <c r="H46">
        <f t="shared" si="7"/>
        <v>0.13047030372683099</v>
      </c>
      <c r="I46">
        <f t="shared" si="8"/>
        <v>0.75131262802650356</v>
      </c>
      <c r="J46">
        <f t="shared" si="9"/>
        <v>1</v>
      </c>
    </row>
    <row r="47" spans="1:10" x14ac:dyDescent="0.2">
      <c r="A47" t="s">
        <v>56</v>
      </c>
      <c r="B47">
        <f t="shared" si="5"/>
        <v>9.3411519963785314E-2</v>
      </c>
      <c r="C47">
        <f t="shared" si="5"/>
        <v>4.8573336731911047E-2</v>
      </c>
      <c r="D47">
        <f t="shared" si="5"/>
        <v>6.7148358014616286E-2</v>
      </c>
      <c r="E47">
        <f t="shared" si="5"/>
        <v>6.5804379423269097E-2</v>
      </c>
      <c r="F47">
        <f t="shared" si="5"/>
        <v>6.4793610864207971E-2</v>
      </c>
      <c r="G47">
        <f t="shared" si="6"/>
        <v>7.8279256790010091E-2</v>
      </c>
      <c r="H47">
        <f t="shared" si="7"/>
        <v>9.4843038961316808E-2</v>
      </c>
      <c r="I47">
        <f t="shared" si="8"/>
        <v>0.54783838528544859</v>
      </c>
      <c r="J47">
        <f t="shared" si="9"/>
        <v>5</v>
      </c>
    </row>
    <row r="48" spans="1:10" x14ac:dyDescent="0.2">
      <c r="A48" t="s">
        <v>45</v>
      </c>
      <c r="B48">
        <f t="shared" si="5"/>
        <v>7.6008944624671157E-2</v>
      </c>
      <c r="C48">
        <f t="shared" si="5"/>
        <v>6.702464750064295E-2</v>
      </c>
      <c r="D48">
        <f t="shared" si="5"/>
        <v>7.4891106418612824E-2</v>
      </c>
      <c r="E48">
        <f t="shared" si="5"/>
        <v>8.4932537114914664E-2</v>
      </c>
      <c r="F48">
        <f t="shared" si="5"/>
        <v>6.6376536637826694E-2</v>
      </c>
      <c r="G48">
        <f t="shared" si="6"/>
        <v>5.9988137908829106E-2</v>
      </c>
      <c r="H48">
        <f t="shared" si="7"/>
        <v>0.10268132202827113</v>
      </c>
      <c r="I48">
        <f t="shared" si="8"/>
        <v>0.63122679615445421</v>
      </c>
      <c r="J48">
        <f t="shared" si="9"/>
        <v>3</v>
      </c>
    </row>
    <row r="49" spans="1:10" x14ac:dyDescent="0.2">
      <c r="A49" t="s">
        <v>40</v>
      </c>
      <c r="B49">
        <f t="shared" si="5"/>
        <v>2.8691089597516404E-2</v>
      </c>
      <c r="C49">
        <f t="shared" si="5"/>
        <v>1.9414492186250708E-2</v>
      </c>
      <c r="D49">
        <f t="shared" si="5"/>
        <v>3.3547025410088867E-2</v>
      </c>
      <c r="E49">
        <f t="shared" si="5"/>
        <v>4.2771311822492039E-2</v>
      </c>
      <c r="F49">
        <f t="shared" si="5"/>
        <v>3.3270109818617492E-2</v>
      </c>
      <c r="G49">
        <f t="shared" si="6"/>
        <v>0.1484209402426353</v>
      </c>
      <c r="H49">
        <f t="shared" si="7"/>
        <v>1.096135289913046E-2</v>
      </c>
      <c r="I49">
        <f t="shared" si="8"/>
        <v>6.8773969071838262E-2</v>
      </c>
      <c r="J49">
        <f t="shared" si="9"/>
        <v>10</v>
      </c>
    </row>
    <row r="50" spans="1:10" x14ac:dyDescent="0.2">
      <c r="A50" t="s">
        <v>130</v>
      </c>
      <c r="B50">
        <f t="shared" si="5"/>
        <v>2.2855790102365561E-2</v>
      </c>
      <c r="C50">
        <f t="shared" si="5"/>
        <v>4.2415396278023716E-2</v>
      </c>
      <c r="D50">
        <f t="shared" si="5"/>
        <v>4.413990135346333E-2</v>
      </c>
      <c r="E50">
        <f t="shared" si="5"/>
        <v>3.3492274308764225E-2</v>
      </c>
      <c r="F50">
        <f t="shared" si="5"/>
        <v>3.375466775391462E-2</v>
      </c>
      <c r="G50">
        <f t="shared" si="6"/>
        <v>0.13680605447938249</v>
      </c>
      <c r="H50">
        <f t="shared" si="7"/>
        <v>2.5327562183978962E-2</v>
      </c>
      <c r="I50">
        <f t="shared" si="8"/>
        <v>0.15621413193148376</v>
      </c>
      <c r="J50">
        <f t="shared" si="9"/>
        <v>9</v>
      </c>
    </row>
    <row r="51" spans="1:10" x14ac:dyDescent="0.2">
      <c r="A51" t="s">
        <v>226</v>
      </c>
      <c r="B51">
        <f>MAX(B41:B50)</f>
        <v>9.3411519963785314E-2</v>
      </c>
      <c r="C51">
        <f>MAX(C41:C50)</f>
        <v>0.11383348187235372</v>
      </c>
      <c r="D51">
        <f>MAX(D41:D50)</f>
        <v>9.0583036785050364E-2</v>
      </c>
      <c r="E51">
        <f>MAX(E41:E50)</f>
        <v>8.4932537114914664E-2</v>
      </c>
      <c r="F51">
        <f>MAX(F41:F50)</f>
        <v>9.5675400224521978E-2</v>
      </c>
    </row>
    <row r="52" spans="1:10" x14ac:dyDescent="0.2">
      <c r="A52" t="s">
        <v>227</v>
      </c>
      <c r="B52">
        <f>MIN(B41:B50)</f>
        <v>2.2855790102365561E-2</v>
      </c>
      <c r="C52">
        <f>MIN(C41:C50)</f>
        <v>1.9414492186250708E-2</v>
      </c>
      <c r="D52">
        <f>MIN(D41:D50)</f>
        <v>3.3547025410088867E-2</v>
      </c>
      <c r="E52">
        <f>MIN(E41:E50)</f>
        <v>3.3492274308764225E-2</v>
      </c>
      <c r="F52">
        <f>MIN(F41:F50)</f>
        <v>3.3270109818617492E-2</v>
      </c>
    </row>
    <row r="60" spans="1:10" x14ac:dyDescent="0.2">
      <c r="A60" s="3" t="s">
        <v>229</v>
      </c>
      <c r="B60">
        <f>1-6*SUMPRODUCT((Processing_index!$AF$6:$AF$15-TOPSIS!$J$23:$J$32)^2)/(10*(10^2-1))</f>
        <v>0.96363636363636362</v>
      </c>
    </row>
    <row r="61" spans="1:10" x14ac:dyDescent="0.2">
      <c r="A61" s="3" t="s">
        <v>230</v>
      </c>
      <c r="B61">
        <f>SUMPRODUCT((Processing_index!$AD$6:$AD$15-AVERAGE(Processing_index!$AD$6:$AD$15))*(TOPSIS!$I$23:$I$32-AVERAGE(TOPSIS!$I$23:$I$32)))/SQRT(SUMPRODUCT((Processing_index!$AD$6:$AD$15-AVERAGE(Processing_index!$AD$6:$AD$15))^2)*SUMPRODUCT((TOPSIS!$I$23:$I$32-AVERAGE(TOPSIS!$I$23:$I$32))^2))</f>
        <v>0.95697440583233107</v>
      </c>
    </row>
    <row r="62" spans="1:10" x14ac:dyDescent="0.2">
      <c r="A62" s="3" t="s">
        <v>231</v>
      </c>
      <c r="B62">
        <f>1-6*SUMPRODUCT((TOPSIS!$J$23:$J$32-TOPSIS!$J$41:$J$50)^2)/(10*(10^2-1))</f>
        <v>0.98787878787878791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workbookViewId="0"/>
  </sheetViews>
  <sheetFormatPr baseColWidth="10" defaultColWidth="8.83203125" defaultRowHeight="15" x14ac:dyDescent="0.2"/>
  <sheetData>
    <row r="1" spans="1:6" ht="17" x14ac:dyDescent="0.2">
      <c r="A1" s="1" t="s">
        <v>232</v>
      </c>
    </row>
    <row r="3" spans="1:6" x14ac:dyDescent="0.2">
      <c r="A3" s="3" t="s">
        <v>134</v>
      </c>
      <c r="B3" s="3" t="s">
        <v>233</v>
      </c>
      <c r="C3" s="3" t="s">
        <v>234</v>
      </c>
      <c r="D3" s="3" t="s">
        <v>235</v>
      </c>
      <c r="E3" s="3" t="s">
        <v>236</v>
      </c>
      <c r="F3" s="3" t="s">
        <v>237</v>
      </c>
    </row>
    <row r="4" spans="1:6" x14ac:dyDescent="0.2">
      <c r="A4" t="s">
        <v>142</v>
      </c>
      <c r="B4">
        <f>Processing_index!$S$15</f>
        <v>0.17392266674442028</v>
      </c>
      <c r="C4">
        <f>AVERAGEIFS(Processing_index!$S$6:$S$14,Processing_index!$AE$6:$AE$14,3)</f>
        <v>0.44929589351123933</v>
      </c>
      <c r="D4">
        <f>AVERAGEIFS(Processing_index!$S$6:$S$14,Processing_index!$AE$6:$AE$14,4)</f>
        <v>0.61202871704517614</v>
      </c>
      <c r="E4">
        <f>Processing_index!$S$4</f>
        <v>0.51339238027652934</v>
      </c>
      <c r="F4">
        <f t="shared" ref="F4:F10" si="0">C4-B4</f>
        <v>0.27537322676681908</v>
      </c>
    </row>
    <row r="5" spans="1:6" x14ac:dyDescent="0.2">
      <c r="A5" t="s">
        <v>156</v>
      </c>
      <c r="B5">
        <f>Processing_index!$T$15</f>
        <v>0.23417283141449302</v>
      </c>
      <c r="C5">
        <f>AVERAGEIFS(Processing_index!$T$6:$T$14,Processing_index!$AE$6:$AE$14,3)</f>
        <v>0.35687569851184336</v>
      </c>
      <c r="D5">
        <f>AVERAGEIFS(Processing_index!$T$6:$T$14,Processing_index!$AE$6:$AE$14,4)</f>
        <v>0.40090031866066783</v>
      </c>
      <c r="E5">
        <f>Processing_index!$T$4</f>
        <v>0.4082114636891348</v>
      </c>
      <c r="F5">
        <f t="shared" si="0"/>
        <v>0.12270286709735034</v>
      </c>
    </row>
    <row r="6" spans="1:6" x14ac:dyDescent="0.2">
      <c r="A6" t="s">
        <v>163</v>
      </c>
      <c r="B6">
        <f>Processing_index!$U$15</f>
        <v>0.36886287936698087</v>
      </c>
      <c r="C6">
        <f>AVERAGEIFS(Processing_index!$U$6:$U$14,Processing_index!$AE$6:$AE$14,3)</f>
        <v>0.5107672202523813</v>
      </c>
      <c r="D6">
        <f>AVERAGEIFS(Processing_index!$U$6:$U$14,Processing_index!$AE$6:$AE$14,4)</f>
        <v>0.68466426391631163</v>
      </c>
      <c r="E6">
        <f>Processing_index!$U$4</f>
        <v>0.53168491473873092</v>
      </c>
      <c r="F6">
        <f t="shared" si="0"/>
        <v>0.14190434088540044</v>
      </c>
    </row>
    <row r="7" spans="1:6" x14ac:dyDescent="0.2">
      <c r="A7" t="s">
        <v>174</v>
      </c>
      <c r="B7">
        <f>Processing_index!$V$15</f>
        <v>0.35816637363864023</v>
      </c>
      <c r="C7">
        <f>AVERAGEIFS(Processing_index!$V$6:$V$14,Processing_index!$AE$6:$AE$14,3)</f>
        <v>0.65898503208923942</v>
      </c>
      <c r="D7">
        <f>AVERAGEIFS(Processing_index!$V$6:$V$14,Processing_index!$AE$6:$AE$14,4)</f>
        <v>0.84436186622398612</v>
      </c>
      <c r="E7">
        <f>Processing_index!$V$4</f>
        <v>0.71734079231025216</v>
      </c>
      <c r="F7">
        <f t="shared" si="0"/>
        <v>0.30081865845059919</v>
      </c>
    </row>
    <row r="8" spans="1:6" x14ac:dyDescent="0.2">
      <c r="A8" t="s">
        <v>183</v>
      </c>
      <c r="B8">
        <f>Processing_index!$W$15</f>
        <v>0.31068594867071531</v>
      </c>
      <c r="C8">
        <f>AVERAGEIFS(Processing_index!$W$6:$W$14,Processing_index!$AE$6:$AE$14,3)</f>
        <v>0.55546197857454915</v>
      </c>
      <c r="D8">
        <f>AVERAGEIFS(Processing_index!$W$6:$W$14,Processing_index!$AE$6:$AE$14,4)</f>
        <v>0.76788110025810929</v>
      </c>
      <c r="E8">
        <f>Processing_index!$W$4</f>
        <v>0.62060694747090672</v>
      </c>
      <c r="F8">
        <f t="shared" si="0"/>
        <v>0.24477602990383385</v>
      </c>
    </row>
    <row r="9" spans="1:6" x14ac:dyDescent="0.2">
      <c r="A9" t="s">
        <v>194</v>
      </c>
      <c r="B9">
        <f>Processing_index!$X$15</f>
        <v>0.2878422920892495</v>
      </c>
      <c r="C9">
        <f>AVERAGEIFS(Processing_index!$X$6:$X$14,Processing_index!$AE$6:$AE$14,3)</f>
        <v>0.2983635480054091</v>
      </c>
      <c r="D9">
        <f>AVERAGEIFS(Processing_index!$X$6:$X$14,Processing_index!$AE$6:$AE$14,4)</f>
        <v>0.56763426395462402</v>
      </c>
      <c r="E9">
        <f>Processing_index!$X$4</f>
        <v>0.43058584065810235</v>
      </c>
      <c r="F9">
        <f t="shared" si="0"/>
        <v>1.05212559161596E-2</v>
      </c>
    </row>
    <row r="10" spans="1:6" x14ac:dyDescent="0.2">
      <c r="A10" t="s">
        <v>199</v>
      </c>
      <c r="B10">
        <f>Processing_index!$Y$15</f>
        <v>0.23855688878459491</v>
      </c>
      <c r="C10">
        <f>AVERAGEIFS(Processing_index!$Y$6:$Y$14,Processing_index!$AE$6:$AE$14,3)</f>
        <v>0.43925493791498488</v>
      </c>
      <c r="D10">
        <f>AVERAGEIFS(Processing_index!$Y$6:$Y$14,Processing_index!$AE$6:$AE$14,4)</f>
        <v>0.6492367460432088</v>
      </c>
      <c r="E10">
        <f>Processing_index!$Y$4</f>
        <v>0.55128567581699917</v>
      </c>
      <c r="F10">
        <f t="shared" si="0"/>
        <v>0.20069804913038997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workbookViewId="0"/>
  </sheetViews>
  <sheetFormatPr baseColWidth="10" defaultColWidth="8.83203125" defaultRowHeight="15" x14ac:dyDescent="0.2"/>
  <sheetData>
    <row r="1" spans="1:32" ht="17" x14ac:dyDescent="0.2">
      <c r="A1" s="1" t="s">
        <v>238</v>
      </c>
    </row>
    <row r="3" spans="1:32" x14ac:dyDescent="0.2">
      <c r="A3" s="3" t="s">
        <v>125</v>
      </c>
      <c r="B3" s="3" t="s">
        <v>141</v>
      </c>
      <c r="C3" s="3" t="s">
        <v>147</v>
      </c>
      <c r="D3" s="3" t="s">
        <v>151</v>
      </c>
      <c r="E3" s="3" t="s">
        <v>155</v>
      </c>
      <c r="F3" s="3" t="s">
        <v>160</v>
      </c>
      <c r="G3" s="3" t="s">
        <v>162</v>
      </c>
      <c r="H3" s="3" t="s">
        <v>167</v>
      </c>
      <c r="I3" s="3" t="s">
        <v>171</v>
      </c>
      <c r="J3" s="3" t="s">
        <v>173</v>
      </c>
      <c r="K3" s="3" t="s">
        <v>178</v>
      </c>
      <c r="L3" s="3" t="s">
        <v>182</v>
      </c>
      <c r="M3" s="3" t="s">
        <v>187</v>
      </c>
      <c r="N3" s="3" t="s">
        <v>191</v>
      </c>
      <c r="O3" s="3" t="s">
        <v>193</v>
      </c>
      <c r="P3" s="3" t="s">
        <v>196</v>
      </c>
      <c r="Q3" s="3" t="s">
        <v>198</v>
      </c>
      <c r="R3" s="3" t="s">
        <v>203</v>
      </c>
      <c r="S3" s="3" t="s">
        <v>142</v>
      </c>
      <c r="T3" s="3" t="s">
        <v>156</v>
      </c>
      <c r="U3" s="3" t="s">
        <v>163</v>
      </c>
      <c r="V3" s="3" t="s">
        <v>174</v>
      </c>
      <c r="W3" s="3" t="s">
        <v>183</v>
      </c>
      <c r="X3" s="3" t="s">
        <v>194</v>
      </c>
      <c r="Y3" s="3" t="s">
        <v>199</v>
      </c>
      <c r="Z3" s="3" t="s">
        <v>208</v>
      </c>
      <c r="AA3" s="3" t="s">
        <v>209</v>
      </c>
      <c r="AB3" s="3" t="s">
        <v>210</v>
      </c>
      <c r="AC3" s="3" t="s">
        <v>211</v>
      </c>
      <c r="AD3" s="3" t="s">
        <v>212</v>
      </c>
      <c r="AE3" s="3" t="s">
        <v>213</v>
      </c>
      <c r="AF3" s="3" t="s">
        <v>214</v>
      </c>
    </row>
    <row r="4" spans="1:32" x14ac:dyDescent="0.2">
      <c r="A4" t="s">
        <v>65</v>
      </c>
      <c r="B4">
        <f>IF(Processing_data!$AH$4="","",MIN(1,MAX(0,(Processing_data!$AH$4-Processing_data!$AL$4)/(Processing_data!$AJ$4-Processing_data!$AL$4))))</f>
        <v>0.57194388777555105</v>
      </c>
      <c r="C4">
        <f>IF(Processing_data!$AH$5="","",MIN(1,MAX(0,(Processing_data!$AH$5-Processing_data!$AL$5)/(Processing_data!$AJ$5-Processing_data!$AL$5))))</f>
        <v>0.39112050739957721</v>
      </c>
      <c r="D4">
        <f>IF(Processing_data!$AH$6="","",MIN(1,MAX(0,(Processing_data!$AH$6-Processing_data!$AL$6)/(Processing_data!$AJ$6-Processing_data!$AL$6))))</f>
        <v>0.34694898299433147</v>
      </c>
      <c r="E4">
        <f>IF(Processing_data!$AH$7="","",MIN(1,MAX(0,(Processing_data!$AH$7-Processing_data!$AL$7)/(Processing_data!$AJ$7-Processing_data!$AL$7))))</f>
        <v>0.31246086412022545</v>
      </c>
      <c r="F4">
        <f>IF(Processing_data!$AH$8="","",MIN(1,MAX(0,(Processing_data!$AH$8-Processing_data!$AL$8)/(Processing_data!$AJ$8-Processing_data!$AL$8))))</f>
        <v>0.36134728580771741</v>
      </c>
      <c r="G4">
        <f>IF(Processing_data!$AH$9="","",MIN(1,MAX(0,(Processing_data!$AH$9-Processing_data!$AL$9)/(Processing_data!$AJ$9-Processing_data!$AL$9))))</f>
        <v>0.37254072350327899</v>
      </c>
      <c r="H4">
        <f>IF(Processing_data!$AH$10="","",MIN(1,MAX(0,(Processing_data!$AH$10-Processing_data!$AL$10)/(Processing_data!$AJ$10-Processing_data!$AL$10))))</f>
        <v>0.3972001671541997</v>
      </c>
      <c r="I4">
        <f>IF(Processing_data!$AH$11="","",MIN(1,MAX(0,(Processing_data!$AH$11-Processing_data!$AL$11)/(Processing_data!$AJ$11-Processing_data!$AL$11))))</f>
        <v>0.48567119155354449</v>
      </c>
      <c r="J4">
        <f>IF(Processing_data!$AH$12="","",MIN(1,MAX(0,(Processing_data!$AH$12-Processing_data!$AL$12)/(Processing_data!$AJ$12-Processing_data!$AL$12))))</f>
        <v>0.64014027515511185</v>
      </c>
      <c r="K4">
        <f>IF(Processing_data!$AH$13="","",MIN(1,MAX(0,(Processing_data!$AH$13-Processing_data!$AL$13)/(Processing_data!$AJ$13-Processing_data!$AL$13))))</f>
        <v>0.49340677683191453</v>
      </c>
      <c r="L4">
        <f>IF(Processing_data!$AH$14="","",MIN(1,MAX(0,(Processing_data!$AH$14-Processing_data!$AL$14)/(Processing_data!$AJ$14-Processing_data!$AL$14))))</f>
        <v>0.41203606626127065</v>
      </c>
      <c r="M4">
        <f>IF(Processing_data!$AH$15="","",MIN(1,MAX(0,(Processing_data!$AH$15-Processing_data!$AL$15)/(Processing_data!$AJ$15-Processing_data!$AL$15))))</f>
        <v>0.56907563025210084</v>
      </c>
      <c r="N4">
        <f>IF(Processing_data!$AH$16="","",MIN(1,MAX(0,(Processing_data!$AH$16-Processing_data!$AL$16)/(Processing_data!$AJ$16-Processing_data!$AL$16))))</f>
        <v>0.46053702196908053</v>
      </c>
      <c r="O4">
        <f>IF(Processing_data!$AH$17="","",MIN(1,MAX(0,(Processing_data!$AH$17-Processing_data!$AL$17)/(Processing_data!$AJ$17-Processing_data!$AL$17))))</f>
        <v>0.31018461914659495</v>
      </c>
      <c r="P4">
        <f>IF(Processing_data!$AH$18="","",MIN(1,MAX(0,(Processing_data!$AH$18-Processing_data!$AL$18)/(Processing_data!$AJ$18-Processing_data!$AL$18))))</f>
        <v>0.34074074074074084</v>
      </c>
      <c r="Q4">
        <f>IF(Processing_data!$AH$19="","",MIN(1,MAX(0,(Processing_data!$AH$19-Processing_data!$AL$19)/(Processing_data!$AJ$19-Processing_data!$AL$19))))</f>
        <v>0.42652476463364725</v>
      </c>
      <c r="R4">
        <f>IF(Processing_data!$AH$20="","",MIN(1,MAX(0,(Processing_data!$AH$20-Processing_data!$AL$20)/(Processing_data!$AJ$20-Processing_data!$AL$20))))</f>
        <v>0.47803085966201314</v>
      </c>
      <c r="S4">
        <f t="shared" ref="S4:S15" si="0">AVERAGE(B4:D4)</f>
        <v>0.43667112605648661</v>
      </c>
      <c r="T4">
        <f t="shared" ref="T4:T15" si="1">AVERAGE(E4:F4)</f>
        <v>0.33690407496397146</v>
      </c>
      <c r="U4">
        <f t="shared" ref="U4:U15" si="2">AVERAGE(G4:I4)</f>
        <v>0.4184706940703411</v>
      </c>
      <c r="V4">
        <f t="shared" ref="V4:V15" si="3">AVERAGE(J4:K4)</f>
        <v>0.56677352599351316</v>
      </c>
      <c r="W4">
        <f t="shared" ref="W4:W15" si="4">AVERAGE(L4:N4)</f>
        <v>0.48054957282748401</v>
      </c>
      <c r="X4">
        <f t="shared" ref="X4:X15" si="5">AVERAGE(O4:P4)</f>
        <v>0.3254626799436679</v>
      </c>
      <c r="Y4">
        <f t="shared" ref="Y4:Y15" si="6">AVERAGE(Q4:R4)</f>
        <v>0.45227781214783019</v>
      </c>
      <c r="Z4">
        <f t="shared" ref="Z4:Z15" si="7">AVERAGE(S4:W4)</f>
        <v>0.44787379878235922</v>
      </c>
      <c r="AA4">
        <f t="shared" ref="AA4:AA15" si="8">MIN(S4:W4)</f>
        <v>0.33690407496397146</v>
      </c>
      <c r="AB4" t="str">
        <f t="shared" ref="AB4:AB15" si="9">INDEX($S$3:$W$3,MATCH(AA4,S4:W4,0))</f>
        <v>L1</v>
      </c>
      <c r="AC4">
        <f t="shared" ref="AC4:AC15" si="10">1-alpha*MAX(0,delta-AA4)</f>
        <v>0.98476162998558858</v>
      </c>
      <c r="AD4">
        <f t="shared" ref="AD4:AD15" si="11">Z4*AC4</f>
        <v>0.44104893211675361</v>
      </c>
      <c r="AE4">
        <f t="shared" ref="AE4:AE15" si="12">1+COUNTIF(bounds,"&lt;"&amp;ROUND(AD4,12))</f>
        <v>3</v>
      </c>
    </row>
    <row r="5" spans="1:32" x14ac:dyDescent="0.2">
      <c r="A5" t="s">
        <v>43</v>
      </c>
      <c r="B5">
        <f>IF(Processing_data!$L$4="","",MIN(1,MAX(0,(Processing_data!$L$4-Processing_data!$AL$4)/(Processing_data!$AJ$4-Processing_data!$AL$4))))</f>
        <v>0.40561122244488973</v>
      </c>
      <c r="C5">
        <f>IF(Processing_data!$L$5="","",MIN(1,MAX(0,(Processing_data!$L$5-Processing_data!$AL$5)/(Processing_data!$AJ$5-Processing_data!$AL$5))))</f>
        <v>0.43446088794926013</v>
      </c>
      <c r="D5">
        <f>IF(Processing_data!$L$6="","",MIN(1,MAX(0,(Processing_data!$L$6-Processing_data!$AL$6)/(Processing_data!$AJ$6-Processing_data!$AL$6))))</f>
        <v>0.33244414804934974</v>
      </c>
      <c r="E5">
        <f>IF(Processing_data!$L$7="","",MIN(1,MAX(0,(Processing_data!$L$7-Processing_data!$AL$7)/(Processing_data!$AJ$7-Processing_data!$AL$7))))</f>
        <v>0.26800250469630554</v>
      </c>
      <c r="F5">
        <f>IF(Processing_data!$L$8="","",MIN(1,MAX(0,(Processing_data!$L$8-Processing_data!$AL$8)/(Processing_data!$AJ$8-Processing_data!$AL$8))))</f>
        <v>0.32733812949640284</v>
      </c>
      <c r="G5">
        <f>IF(Processing_data!$L$9="","",MIN(1,MAX(0,(Processing_data!$L$9-Processing_data!$AL$9)/(Processing_data!$AJ$9-Processing_data!$AL$9))))</f>
        <v>0.44637190607150407</v>
      </c>
      <c r="H5">
        <f>IF(Processing_data!$L$10="","",MIN(1,MAX(0,(Processing_data!$L$10-Processing_data!$AL$10)/(Processing_data!$AJ$10-Processing_data!$AL$10))))</f>
        <v>0.31487672377768494</v>
      </c>
      <c r="I5">
        <f>IF(Processing_data!$L$11="","",MIN(1,MAX(0,(Processing_data!$L$11-Processing_data!$AL$11)/(Processing_data!$AJ$11-Processing_data!$AL$11))))</f>
        <v>0.70663650075414774</v>
      </c>
      <c r="J5">
        <f>IF(Processing_data!$L$12="","",MIN(1,MAX(0,(Processing_data!$L$12-Processing_data!$AL$12)/(Processing_data!$AJ$12-Processing_data!$AL$12))))</f>
        <v>0.7445373617480443</v>
      </c>
      <c r="K5">
        <f>IF(Processing_data!$L$13="","",MIN(1,MAX(0,(Processing_data!$L$13-Processing_data!$AL$13)/(Processing_data!$AJ$13-Processing_data!$AL$13))))</f>
        <v>0.46419629444166249</v>
      </c>
      <c r="L5">
        <f>IF(Processing_data!$L$14="","",MIN(1,MAX(0,(Processing_data!$L$14-Processing_data!$AL$14)/(Processing_data!$AJ$14-Processing_data!$AL$14))))</f>
        <v>0.38855105892220587</v>
      </c>
      <c r="M5">
        <f>IF(Processing_data!$L$15="","",MIN(1,MAX(0,(Processing_data!$L$15-Processing_data!$AL$15)/(Processing_data!$AJ$15-Processing_data!$AL$15))))</f>
        <v>0.8391596638655463</v>
      </c>
      <c r="N5">
        <f>IF(Processing_data!$L$16="","",MIN(1,MAX(0,(Processing_data!$L$16-Processing_data!$AL$16)/(Processing_data!$AJ$16-Processing_data!$AL$16))))</f>
        <v>0.34580960130187144</v>
      </c>
      <c r="O5">
        <f>IF(Processing_data!$L$17="","",MIN(1,MAX(0,(Processing_data!$L$17-Processing_data!$AL$17)/(Processing_data!$AJ$17-Processing_data!$AL$17))))</f>
        <v>0.11981904878346986</v>
      </c>
      <c r="P5">
        <f>IF(Processing_data!$L$18="","",MIN(1,MAX(0,(Processing_data!$L$18-Processing_data!$AL$18)/(Processing_data!$AJ$18-Processing_data!$AL$18))))</f>
        <v>0.22020202020202026</v>
      </c>
      <c r="Q5">
        <f>IF(Processing_data!$L$19="","",MIN(1,MAX(0,(Processing_data!$L$19-Processing_data!$AL$19)/(Processing_data!$AJ$19-Processing_data!$AL$19))))</f>
        <v>0.53417928776094969</v>
      </c>
      <c r="R5">
        <f>IF(Processing_data!$L$20="","",MIN(1,MAX(0,(Processing_data!$L$20-Processing_data!$AL$20)/(Processing_data!$AJ$20-Processing_data!$AL$20))))</f>
        <v>0.50227773695811906</v>
      </c>
      <c r="S5">
        <f t="shared" si="0"/>
        <v>0.39083875281449987</v>
      </c>
      <c r="T5">
        <f t="shared" si="1"/>
        <v>0.29767031709635416</v>
      </c>
      <c r="U5">
        <f t="shared" si="2"/>
        <v>0.48929504353444558</v>
      </c>
      <c r="V5">
        <f t="shared" si="3"/>
        <v>0.60436682809485343</v>
      </c>
      <c r="W5">
        <f t="shared" si="4"/>
        <v>0.52450677469654117</v>
      </c>
      <c r="X5">
        <f t="shared" si="5"/>
        <v>0.17001053449274506</v>
      </c>
      <c r="Y5">
        <f t="shared" si="6"/>
        <v>0.51822851235953438</v>
      </c>
      <c r="Z5">
        <f t="shared" si="7"/>
        <v>0.46133554324733889</v>
      </c>
      <c r="AA5">
        <f t="shared" si="8"/>
        <v>0.29767031709635416</v>
      </c>
      <c r="AB5" t="str">
        <f t="shared" si="9"/>
        <v>L1</v>
      </c>
      <c r="AC5">
        <f t="shared" si="10"/>
        <v>0.96906812683854171</v>
      </c>
      <c r="AD5">
        <f t="shared" si="11"/>
        <v>0.44706557073873976</v>
      </c>
      <c r="AE5">
        <f t="shared" si="12"/>
        <v>3</v>
      </c>
    </row>
    <row r="6" spans="1:32" x14ac:dyDescent="0.2">
      <c r="A6" t="s">
        <v>59</v>
      </c>
      <c r="B6">
        <f>IF(Processing_data!$AB$4="","",MIN(1,MAX(0,(Processing_data!$AB$4-Processing_data!$AL$4)/(Processing_data!$AJ$4-Processing_data!$AL$4))))</f>
        <v>0.41402805611222443</v>
      </c>
      <c r="C6">
        <f>IF(Processing_data!$AB$5="","",MIN(1,MAX(0,(Processing_data!$AB$5-Processing_data!$AL$5)/(Processing_data!$AJ$5-Processing_data!$AL$5))))</f>
        <v>0.21775898520084574</v>
      </c>
      <c r="D6">
        <f>IF(Processing_data!$AB$6="","",MIN(1,MAX(0,(Processing_data!$AB$6-Processing_data!$AL$6)/(Processing_data!$AJ$6-Processing_data!$AL$6))))</f>
        <v>0.41530510170056689</v>
      </c>
      <c r="E6">
        <f>IF(Processing_data!$AB$7="","",MIN(1,MAX(0,(Processing_data!$AB$7-Processing_data!$AL$7)/(Processing_data!$AJ$7-Processing_data!$AL$7))))</f>
        <v>0.71195992485911097</v>
      </c>
      <c r="F6">
        <f>IF(Processing_data!$AB$8="","",MIN(1,MAX(0,(Processing_data!$AB$8-Processing_data!$AL$8)/(Processing_data!$AJ$8-Processing_data!$AL$8))))</f>
        <v>0.45846958796599074</v>
      </c>
      <c r="G6">
        <f>IF(Processing_data!$AB$9="","",MIN(1,MAX(0,(Processing_data!$AB$9-Processing_data!$AL$9)/(Processing_data!$AJ$9-Processing_data!$AL$9))))</f>
        <v>0.38248360482335514</v>
      </c>
      <c r="H6">
        <f>IF(Processing_data!$AB$10="","",MIN(1,MAX(0,(Processing_data!$AB$10-Processing_data!$AL$10)/(Processing_data!$AJ$10-Processing_data!$AL$10))))</f>
        <v>0</v>
      </c>
      <c r="I6">
        <f>IF(Processing_data!$AB$11="","",MIN(1,MAX(0,(Processing_data!$AB$11-Processing_data!$AL$11)/(Processing_data!$AJ$11-Processing_data!$AL$11))))</f>
        <v>0.14404223227752641</v>
      </c>
      <c r="J6">
        <f>IF(Processing_data!$AB$12="","",MIN(1,MAX(0,(Processing_data!$AB$12-Processing_data!$AL$12)/(Processing_data!$AJ$12-Processing_data!$AL$12))))</f>
        <v>0.77744807121661719</v>
      </c>
      <c r="K6">
        <f>IF(Processing_data!$AB$13="","",MIN(1,MAX(0,(Processing_data!$AB$13-Processing_data!$AL$13)/(Processing_data!$AJ$13-Processing_data!$AL$13))))</f>
        <v>0.56351193456851933</v>
      </c>
      <c r="L6">
        <f>IF(Processing_data!$AB$14="","",MIN(1,MAX(0,(Processing_data!$AB$14-Processing_data!$AL$14)/(Processing_data!$AJ$14-Processing_data!$AL$14))))</f>
        <v>9.8133780666806475E-2</v>
      </c>
      <c r="M6">
        <f>IF(Processing_data!$AB$15="","",MIN(1,MAX(0,(Processing_data!$AB$15-Processing_data!$AL$15)/(Processing_data!$AJ$15-Processing_data!$AL$15))))</f>
        <v>0.32235294117647056</v>
      </c>
      <c r="N6">
        <f>IF(Processing_data!$AB$16="","",MIN(1,MAX(0,(Processing_data!$AB$16-Processing_data!$AL$16)/(Processing_data!$AJ$16-Processing_data!$AL$16))))</f>
        <v>0.58868999186330362</v>
      </c>
      <c r="O6">
        <f>IF(Processing_data!$AB$17="","",MIN(1,MAX(0,(Processing_data!$AB$17-Processing_data!$AL$17)/(Processing_data!$AJ$17-Processing_data!$AL$17))))</f>
        <v>0</v>
      </c>
      <c r="P6">
        <f>IF(Processing_data!$AB$18="","",MIN(1,MAX(0,(Processing_data!$AB$18-Processing_data!$AL$18)/(Processing_data!$AJ$18-Processing_data!$AL$18))))</f>
        <v>0.16363636363636369</v>
      </c>
      <c r="Q6">
        <f>IF(Processing_data!$AB$19="","",MIN(1,MAX(0,(Processing_data!$AB$19-Processing_data!$AL$19)/(Processing_data!$AJ$19-Processing_data!$AL$19))))</f>
        <v>0.12116250511665984</v>
      </c>
      <c r="R6">
        <f>IF(Processing_data!$AB$20="","",MIN(1,MAX(0,(Processing_data!$AB$20-Processing_data!$AL$20)/(Processing_data!$AJ$20-Processing_data!$AL$20))))</f>
        <v>0.31359294636296836</v>
      </c>
      <c r="S6">
        <f t="shared" si="0"/>
        <v>0.34903071433787902</v>
      </c>
      <c r="T6">
        <f t="shared" si="1"/>
        <v>0.58521475641255083</v>
      </c>
      <c r="U6">
        <f t="shared" si="2"/>
        <v>0.1755086123669605</v>
      </c>
      <c r="V6">
        <f t="shared" si="3"/>
        <v>0.67048000289256826</v>
      </c>
      <c r="W6">
        <f t="shared" si="4"/>
        <v>0.33639223790219352</v>
      </c>
      <c r="X6">
        <f t="shared" si="5"/>
        <v>8.1818181818181845E-2</v>
      </c>
      <c r="Y6">
        <f t="shared" si="6"/>
        <v>0.21737772573981409</v>
      </c>
      <c r="Z6">
        <f t="shared" si="7"/>
        <v>0.42332526478243049</v>
      </c>
      <c r="AA6">
        <f t="shared" si="8"/>
        <v>0.1755086123669605</v>
      </c>
      <c r="AB6" t="str">
        <f t="shared" si="9"/>
        <v>L2</v>
      </c>
      <c r="AC6">
        <f t="shared" si="10"/>
        <v>0.92020344494678419</v>
      </c>
      <c r="AD6">
        <f t="shared" si="11"/>
        <v>0.38954536698580211</v>
      </c>
      <c r="AE6">
        <f t="shared" si="12"/>
        <v>2</v>
      </c>
      <c r="AF6">
        <f t="shared" ref="AF6:AF15" si="13">1+COUNTIF($AD$6:$AD$15,"&gt;"&amp;AD6)</f>
        <v>5</v>
      </c>
    </row>
    <row r="7" spans="1:32" x14ac:dyDescent="0.2">
      <c r="A7" t="s">
        <v>51</v>
      </c>
      <c r="B7">
        <f>IF(Processing_data!$T$4="","",MIN(1,MAX(0,(Processing_data!$T$4-Processing_data!$AL$4)/(Processing_data!$AJ$4-Processing_data!$AL$4))))</f>
        <v>0.23146292585170339</v>
      </c>
      <c r="C7">
        <f>IF(Processing_data!$T$5="","",MIN(1,MAX(0,(Processing_data!$T$5-Processing_data!$AL$5)/(Processing_data!$AJ$5-Processing_data!$AL$5))))</f>
        <v>0.23731501057082455</v>
      </c>
      <c r="D7">
        <f>IF(Processing_data!$T$6="","",MIN(1,MAX(0,(Processing_data!$T$6-Processing_data!$AL$6)/(Processing_data!$AJ$6-Processing_data!$AL$6))))</f>
        <v>5.1350450150050006E-2</v>
      </c>
      <c r="E7">
        <f>IF(Processing_data!$T$7="","",MIN(1,MAX(0,(Processing_data!$T$7-Processing_data!$AL$7)/(Processing_data!$AJ$7-Processing_data!$AL$7))))</f>
        <v>0.22980588603631813</v>
      </c>
      <c r="F7">
        <f>IF(Processing_data!$T$8="","",MIN(1,MAX(0,(Processing_data!$T$8-Processing_data!$AL$8)/(Processing_data!$AJ$8-Processing_data!$AL$8))))</f>
        <v>0.19326357096141267</v>
      </c>
      <c r="G7" t="str">
        <f>IF(Processing_data!$T$9="","",MIN(1,MAX(0,(Processing_data!$T$9-Processing_data!$AL$9)/(Processing_data!$AJ$9-Processing_data!$AL$9))))</f>
        <v/>
      </c>
      <c r="H7">
        <f>IF(Processing_data!$T$10="","",MIN(1,MAX(0,(Processing_data!$T$10-Processing_data!$AL$10)/(Processing_data!$AJ$10-Processing_data!$AL$10))))</f>
        <v>0.50376096949435856</v>
      </c>
      <c r="I7">
        <f>IF(Processing_data!$T$11="","",MIN(1,MAX(0,(Processing_data!$T$11-Processing_data!$AL$11)/(Processing_data!$AJ$11-Processing_data!$AL$11))))</f>
        <v>0.27652086475615889</v>
      </c>
      <c r="J7">
        <f>IF(Processing_data!$T$12="","",MIN(1,MAX(0,(Processing_data!$T$12-Processing_data!$AL$12)/(Processing_data!$AJ$12-Processing_data!$AL$12))))</f>
        <v>0.31669813865659568</v>
      </c>
      <c r="K7">
        <f>IF(Processing_data!$T$13="","",MIN(1,MAX(0,(Processing_data!$T$13-Processing_data!$AL$13)/(Processing_data!$AJ$13-Processing_data!$AL$13))))</f>
        <v>0.37739943248205637</v>
      </c>
      <c r="L7">
        <f>IF(Processing_data!$T$14="","",MIN(1,MAX(0,(Processing_data!$T$14-Processing_data!$AL$14)/(Processing_data!$AJ$14-Processing_data!$AL$14))))</f>
        <v>0.25644789263996637</v>
      </c>
      <c r="M7">
        <f>IF(Processing_data!$T$15="","",MIN(1,MAX(0,(Processing_data!$T$15-Processing_data!$AL$15)/(Processing_data!$AJ$15-Processing_data!$AL$15))))</f>
        <v>0.35142857142857148</v>
      </c>
      <c r="N7">
        <f>IF(Processing_data!$T$16="","",MIN(1,MAX(0,(Processing_data!$T$16-Processing_data!$AL$16)/(Processing_data!$AJ$16-Processing_data!$AL$16))))</f>
        <v>0.24043938161106593</v>
      </c>
      <c r="O7">
        <f>IF(Processing_data!$T$17="","",MIN(1,MAX(0,(Processing_data!$T$17-Processing_data!$AL$17)/(Processing_data!$AJ$17-Processing_data!$AL$17))))</f>
        <v>0.19036557036312507</v>
      </c>
      <c r="P7">
        <f>IF(Processing_data!$T$18="","",MIN(1,MAX(0,(Processing_data!$T$18-Processing_data!$AL$18)/(Processing_data!$AJ$18-Processing_data!$AL$18))))</f>
        <v>2.9966329966329988E-2</v>
      </c>
      <c r="Q7">
        <f>IF(Processing_data!$T$19="","",MIN(1,MAX(0,(Processing_data!$T$19-Processing_data!$AL$19)/(Processing_data!$AJ$19-Processing_data!$AL$19))))</f>
        <v>0.16373311502251331</v>
      </c>
      <c r="R7">
        <f>IF(Processing_data!$T$20="","",MIN(1,MAX(0,(Processing_data!$T$20-Processing_data!$AL$20)/(Processing_data!$AJ$20-Processing_data!$AL$20))))</f>
        <v>0.33181484202792061</v>
      </c>
      <c r="S7">
        <f t="shared" si="0"/>
        <v>0.17337612885752599</v>
      </c>
      <c r="T7">
        <f t="shared" si="1"/>
        <v>0.2115347284988654</v>
      </c>
      <c r="U7">
        <f t="shared" si="2"/>
        <v>0.39014091712525872</v>
      </c>
      <c r="V7">
        <f t="shared" si="3"/>
        <v>0.34704878556932606</v>
      </c>
      <c r="W7">
        <f t="shared" si="4"/>
        <v>0.28277194855986792</v>
      </c>
      <c r="X7">
        <f t="shared" si="5"/>
        <v>0.11016595016472752</v>
      </c>
      <c r="Y7">
        <f t="shared" si="6"/>
        <v>0.24777397852521696</v>
      </c>
      <c r="Z7">
        <f t="shared" si="7"/>
        <v>0.28097450172216881</v>
      </c>
      <c r="AA7">
        <f t="shared" si="8"/>
        <v>0.17337612885752599</v>
      </c>
      <c r="AB7" t="str">
        <f t="shared" si="9"/>
        <v>C</v>
      </c>
      <c r="AC7">
        <f t="shared" si="10"/>
        <v>0.91935045154301043</v>
      </c>
      <c r="AD7">
        <f t="shared" si="11"/>
        <v>0.25831403503034828</v>
      </c>
      <c r="AE7">
        <f t="shared" si="12"/>
        <v>2</v>
      </c>
      <c r="AF7">
        <f t="shared" si="13"/>
        <v>7</v>
      </c>
    </row>
    <row r="8" spans="1:32" x14ac:dyDescent="0.2">
      <c r="A8" t="s">
        <v>61</v>
      </c>
      <c r="B8">
        <f>IF(Processing_data!$AD$4="","",MIN(1,MAX(0,(Processing_data!$AD$4-Processing_data!$AL$4)/(Processing_data!$AJ$4-Processing_data!$AL$4))))</f>
        <v>9.0180360721442879E-2</v>
      </c>
      <c r="C8">
        <f>IF(Processing_data!$AD$5="","",MIN(1,MAX(0,(Processing_data!$AD$5-Processing_data!$AL$5)/(Processing_data!$AJ$5-Processing_data!$AL$5))))</f>
        <v>4.0169133192389024E-2</v>
      </c>
      <c r="D8">
        <f>IF(Processing_data!$AD$6="","",MIN(1,MAX(0,(Processing_data!$AD$6-Processing_data!$AL$6)/(Processing_data!$AJ$6-Processing_data!$AL$6))))</f>
        <v>0.84811603867955998</v>
      </c>
      <c r="E8">
        <f>IF(Processing_data!$AD$7="","",MIN(1,MAX(0,(Processing_data!$AD$7-Processing_data!$AL$7)/(Processing_data!$AJ$7-Processing_data!$AL$7))))</f>
        <v>0.22792736380713841</v>
      </c>
      <c r="F8">
        <f>IF(Processing_data!$AD$8="","",MIN(1,MAX(0,(Processing_data!$AD$8-Processing_data!$AL$8)/(Processing_data!$AJ$8-Processing_data!$AL$8))))</f>
        <v>7.4558534990189662E-2</v>
      </c>
      <c r="G8">
        <f>IF(Processing_data!$AD$9="","",MIN(1,MAX(0,(Processing_data!$AD$9-Processing_data!$AL$9)/(Processing_data!$AJ$9-Processing_data!$AL$9))))</f>
        <v>8.9485931880685404E-2</v>
      </c>
      <c r="H8">
        <f>IF(Processing_data!$AD$10="","",MIN(1,MAX(0,(Processing_data!$AD$10-Processing_data!$AL$10)/(Processing_data!$AJ$10-Processing_data!$AL$10))))</f>
        <v>0.26974508984538237</v>
      </c>
      <c r="I8">
        <f>IF(Processing_data!$AD$11="","",MIN(1,MAX(0,(Processing_data!$AD$11-Processing_data!$AL$11)/(Processing_data!$AJ$11-Processing_data!$AL$11))))</f>
        <v>0</v>
      </c>
      <c r="J8">
        <f>IF(Processing_data!$AD$12="","",MIN(1,MAX(0,(Processing_data!$AD$12-Processing_data!$AL$12)/(Processing_data!$AJ$12-Processing_data!$AL$12))))</f>
        <v>0.61694092257890465</v>
      </c>
      <c r="K8">
        <f>IF(Processing_data!$AD$13="","",MIN(1,MAX(0,(Processing_data!$AD$13-Processing_data!$AL$13)/(Processing_data!$AJ$13-Processing_data!$AL$13))))</f>
        <v>0.12368552829243866</v>
      </c>
      <c r="L8">
        <f>IF(Processing_data!$AD$14="","",MIN(1,MAX(0,(Processing_data!$AD$14-Processing_data!$AL$14)/(Processing_data!$AJ$14-Processing_data!$AL$14))))</f>
        <v>0.1371356678548962</v>
      </c>
      <c r="M8">
        <f>IF(Processing_data!$AD$15="","",MIN(1,MAX(0,(Processing_data!$AD$15-Processing_data!$AL$15)/(Processing_data!$AJ$15-Processing_data!$AL$15))))</f>
        <v>0.20537815126050418</v>
      </c>
      <c r="N8">
        <f>IF(Processing_data!$AD$16="","",MIN(1,MAX(0,(Processing_data!$AD$16-Processing_data!$AL$16)/(Processing_data!$AJ$16-Processing_data!$AL$16))))</f>
        <v>8.584214808787631E-2</v>
      </c>
      <c r="O8">
        <f>IF(Processing_data!$AD$17="","",MIN(1,MAX(0,(Processing_data!$AD$17-Processing_data!$AL$17)/(Processing_data!$AJ$17-Processing_data!$AL$17))))</f>
        <v>0.32962464849003548</v>
      </c>
      <c r="P8">
        <f>IF(Processing_data!$AD$18="","",MIN(1,MAX(0,(Processing_data!$AD$18-Processing_data!$AL$18)/(Processing_data!$AJ$18-Processing_data!$AL$18))))</f>
        <v>2.7946127946127951E-2</v>
      </c>
      <c r="Q8">
        <f>IF(Processing_data!$AD$19="","",MIN(1,MAX(0,(Processing_data!$AD$19-Processing_data!$AL$19)/(Processing_data!$AJ$19-Processing_data!$AL$19))))</f>
        <v>0</v>
      </c>
      <c r="R8">
        <f>IF(Processing_data!$AD$20="","",MIN(1,MAX(0,(Processing_data!$AD$20-Processing_data!$AL$20)/(Processing_data!$AJ$20-Processing_data!$AL$20))))</f>
        <v>9.3019838354151368E-2</v>
      </c>
      <c r="S8">
        <f t="shared" si="0"/>
        <v>0.3261551775311306</v>
      </c>
      <c r="T8">
        <f t="shared" si="1"/>
        <v>0.15124294939866403</v>
      </c>
      <c r="U8">
        <f t="shared" si="2"/>
        <v>0.11974367390868927</v>
      </c>
      <c r="V8">
        <f t="shared" si="3"/>
        <v>0.37031322543567163</v>
      </c>
      <c r="W8">
        <f t="shared" si="4"/>
        <v>0.14278532240109224</v>
      </c>
      <c r="X8">
        <f t="shared" si="5"/>
        <v>0.17878538821808171</v>
      </c>
      <c r="Y8">
        <f t="shared" si="6"/>
        <v>4.6509919177075684E-2</v>
      </c>
      <c r="Z8">
        <f t="shared" si="7"/>
        <v>0.22204806973504954</v>
      </c>
      <c r="AA8">
        <f t="shared" si="8"/>
        <v>0.11974367390868927</v>
      </c>
      <c r="AB8" t="str">
        <f t="shared" si="9"/>
        <v>L2</v>
      </c>
      <c r="AC8">
        <f t="shared" si="10"/>
        <v>0.89789746956347571</v>
      </c>
      <c r="AD8">
        <f t="shared" si="11"/>
        <v>0.19937639993655518</v>
      </c>
      <c r="AE8">
        <f t="shared" si="12"/>
        <v>1</v>
      </c>
      <c r="AF8">
        <f t="shared" si="13"/>
        <v>8</v>
      </c>
    </row>
    <row r="9" spans="1:32" x14ac:dyDescent="0.2">
      <c r="A9" t="s">
        <v>42</v>
      </c>
      <c r="B9">
        <f>IF(Processing_data!$K$4="","",MIN(1,MAX(0,(Processing_data!$K$4-Processing_data!$AL$4)/(Processing_data!$AJ$4-Processing_data!$AL$4))))</f>
        <v>0.63406813627254499</v>
      </c>
      <c r="C9">
        <f>IF(Processing_data!$K$5="","",MIN(1,MAX(0,(Processing_data!$K$5-Processing_data!$AL$5)/(Processing_data!$AJ$5-Processing_data!$AL$5))))</f>
        <v>0.67389006342494717</v>
      </c>
      <c r="D9">
        <f>IF(Processing_data!$K$6="","",MIN(1,MAX(0,(Processing_data!$K$6-Processing_data!$AL$6)/(Processing_data!$AJ$6-Processing_data!$AL$6))))</f>
        <v>0.1822274091363788</v>
      </c>
      <c r="E9">
        <f>IF(Processing_data!$K$7="","",MIN(1,MAX(0,(Processing_data!$K$7-Processing_data!$AL$7)/(Processing_data!$AJ$7-Processing_data!$AL$7))))</f>
        <v>0.33750782717595496</v>
      </c>
      <c r="F9">
        <f>IF(Processing_data!$K$8="","",MIN(1,MAX(0,(Processing_data!$K$8-Processing_data!$AL$8)/(Processing_data!$AJ$8-Processing_data!$AL$8))))</f>
        <v>0.41236102027468929</v>
      </c>
      <c r="G9">
        <f>IF(Processing_data!$K$9="","",MIN(1,MAX(0,(Processing_data!$K$9-Processing_data!$AL$9)/(Processing_data!$AJ$9-Processing_data!$AL$9))))</f>
        <v>0.66786545377617923</v>
      </c>
      <c r="H9">
        <f>IF(Processing_data!$K$10="","",MIN(1,MAX(0,(Processing_data!$K$10-Processing_data!$AL$10)/(Processing_data!$AJ$10-Processing_data!$AL$10))))</f>
        <v>0.47618052653572918</v>
      </c>
      <c r="I9">
        <f>IF(Processing_data!$K$11="","",MIN(1,MAX(0,(Processing_data!$K$11-Processing_data!$AL$11)/(Processing_data!$AJ$11-Processing_data!$AL$11))))</f>
        <v>0.60784313725490191</v>
      </c>
      <c r="J9">
        <f>IF(Processing_data!$K$12="","",MIN(1,MAX(0,(Processing_data!$K$12-Processing_data!$AL$12)/(Processing_data!$AJ$12-Processing_data!$AL$12))))</f>
        <v>0.6201780415430268</v>
      </c>
      <c r="K9">
        <f>IF(Processing_data!$K$13="","",MIN(1,MAX(0,(Processing_data!$K$13-Processing_data!$AL$13)/(Processing_data!$AJ$13-Processing_data!$AL$13))))</f>
        <v>0.52178267401101641</v>
      </c>
      <c r="L9">
        <f>IF(Processing_data!$K$14="","",MIN(1,MAX(0,(Processing_data!$K$14-Processing_data!$AL$14)/(Processing_data!$AJ$14-Processing_data!$AL$14))))</f>
        <v>0.55504298595093304</v>
      </c>
      <c r="M9">
        <f>IF(Processing_data!$K$15="","",MIN(1,MAX(0,(Processing_data!$K$15-Processing_data!$AL$15)/(Processing_data!$AJ$15-Processing_data!$AL$15))))</f>
        <v>0.69142857142857139</v>
      </c>
      <c r="N9">
        <f>IF(Processing_data!$K$16="","",MIN(1,MAX(0,(Processing_data!$K$16-Processing_data!$AL$16)/(Processing_data!$AJ$16-Processing_data!$AL$16))))</f>
        <v>0.95646867371847033</v>
      </c>
      <c r="O9">
        <f>IF(Processing_data!$K$17="","",MIN(1,MAX(0,(Processing_data!$K$17-Processing_data!$AL$17)/(Processing_data!$AJ$17-Processing_data!$AL$17))))</f>
        <v>0.23291355911480621</v>
      </c>
      <c r="P9">
        <f>IF(Processing_data!$K$18="","",MIN(1,MAX(0,(Processing_data!$K$18-Processing_data!$AL$18)/(Processing_data!$AJ$18-Processing_data!$AL$18))))</f>
        <v>0.28249158249158257</v>
      </c>
      <c r="Q9">
        <f>IF(Processing_data!$K$19="","",MIN(1,MAX(0,(Processing_data!$K$19-Processing_data!$AL$19)/(Processing_data!$AJ$19-Processing_data!$AL$19))))</f>
        <v>0.35734752353663529</v>
      </c>
      <c r="R9">
        <f>IF(Processing_data!$K$20="","",MIN(1,MAX(0,(Processing_data!$K$20-Processing_data!$AL$20)/(Processing_data!$AJ$20-Processing_data!$AL$20))))</f>
        <v>0.55503306392358565</v>
      </c>
      <c r="S9">
        <f t="shared" si="0"/>
        <v>0.49672853627795693</v>
      </c>
      <c r="T9">
        <f t="shared" si="1"/>
        <v>0.37493442372532215</v>
      </c>
      <c r="U9">
        <f t="shared" si="2"/>
        <v>0.58396303918893677</v>
      </c>
      <c r="V9">
        <f t="shared" si="3"/>
        <v>0.57098035777702161</v>
      </c>
      <c r="W9">
        <f t="shared" si="4"/>
        <v>0.73431341036599163</v>
      </c>
      <c r="X9">
        <f t="shared" si="5"/>
        <v>0.25770257080319436</v>
      </c>
      <c r="Y9">
        <f t="shared" si="6"/>
        <v>0.45619029373011044</v>
      </c>
      <c r="Z9">
        <f t="shared" si="7"/>
        <v>0.55218395346704585</v>
      </c>
      <c r="AA9">
        <f t="shared" si="8"/>
        <v>0.37493442372532215</v>
      </c>
      <c r="AB9" t="str">
        <f t="shared" si="9"/>
        <v>L1</v>
      </c>
      <c r="AC9">
        <f t="shared" si="10"/>
        <v>0.99997376949012884</v>
      </c>
      <c r="AD9">
        <f t="shared" si="11"/>
        <v>0.55216946940040379</v>
      </c>
      <c r="AE9">
        <f t="shared" si="12"/>
        <v>3</v>
      </c>
      <c r="AF9">
        <f t="shared" si="13"/>
        <v>2</v>
      </c>
    </row>
    <row r="10" spans="1:32" x14ac:dyDescent="0.2">
      <c r="A10" t="s">
        <v>64</v>
      </c>
      <c r="B10">
        <f>IF(Processing_data!$AG$4="","",MIN(1,MAX(0,(Processing_data!$AG$4-Processing_data!$AL$4)/(Processing_data!$AJ$4-Processing_data!$AL$4))))</f>
        <v>9.1382765531062088E-2</v>
      </c>
      <c r="C10">
        <f>IF(Processing_data!$AG$5="","",MIN(1,MAX(0,(Processing_data!$AG$5-Processing_data!$AL$5)/(Processing_data!$AJ$5-Processing_data!$AL$5))))</f>
        <v>0.4741014799154335</v>
      </c>
      <c r="D10">
        <f>IF(Processing_data!$AG$6="","",MIN(1,MAX(0,(Processing_data!$AG$6-Processing_data!$AL$6)/(Processing_data!$AJ$6-Processing_data!$AL$6))))</f>
        <v>0.12620873624541515</v>
      </c>
      <c r="E10">
        <f>IF(Processing_data!$AG$7="","",MIN(1,MAX(0,(Processing_data!$AG$7-Processing_data!$AL$7)/(Processing_data!$AJ$7-Processing_data!$AL$7))))</f>
        <v>0.12836568566061368</v>
      </c>
      <c r="F10">
        <f>IF(Processing_data!$AG$8="","",MIN(1,MAX(0,(Processing_data!$AG$8-Processing_data!$AL$8)/(Processing_data!$AJ$8-Processing_data!$AL$8))))</f>
        <v>0.15761935905820798</v>
      </c>
      <c r="G10">
        <f>IF(Processing_data!$AG$9="","",MIN(1,MAX(0,(Processing_data!$AG$9-Processing_data!$AL$9)/(Processing_data!$AJ$9-Processing_data!$AL$9))))</f>
        <v>0.60482335519356878</v>
      </c>
      <c r="H10">
        <f>IF(Processing_data!$AG$10="","",MIN(1,MAX(0,(Processing_data!$AG$10-Processing_data!$AL$10)/(Processing_data!$AJ$10-Processing_data!$AL$10))))</f>
        <v>0.22294191391558718</v>
      </c>
      <c r="I10">
        <f>IF(Processing_data!$AG$11="","",MIN(1,MAX(0,(Processing_data!$AG$11-Processing_data!$AL$11)/(Processing_data!$AJ$11-Processing_data!$AL$11))))</f>
        <v>0.63926596279537451</v>
      </c>
      <c r="J10">
        <f>IF(Processing_data!$AG$12="","",MIN(1,MAX(0,(Processing_data!$AG$12-Processing_data!$AL$12)/(Processing_data!$AJ$12-Processing_data!$AL$12))))</f>
        <v>0</v>
      </c>
      <c r="K10">
        <f>IF(Processing_data!$AG$13="","",MIN(1,MAX(0,(Processing_data!$AG$13-Processing_data!$AL$13)/(Processing_data!$AJ$13-Processing_data!$AL$13))))</f>
        <v>0.3967618093807378</v>
      </c>
      <c r="L10">
        <f>IF(Processing_data!$AG$14="","",MIN(1,MAX(0,(Processing_data!$AG$14-Processing_data!$AL$14)/(Processing_data!$AJ$14-Processing_data!$AL$14))))</f>
        <v>0.59152862235269443</v>
      </c>
      <c r="M10">
        <f>IF(Processing_data!$AG$15="","",MIN(1,MAX(0,(Processing_data!$AG$15-Processing_data!$AL$15)/(Processing_data!$AJ$15-Processing_data!$AL$15))))</f>
        <v>0.57899159663865551</v>
      </c>
      <c r="N10">
        <f>IF(Processing_data!$AG$16="","",MIN(1,MAX(0,(Processing_data!$AG$16-Processing_data!$AL$16)/(Processing_data!$AJ$16-Processing_data!$AL$16))))</f>
        <v>0.28641171684296179</v>
      </c>
      <c r="O10">
        <f>IF(Processing_data!$AG$17="","",MIN(1,MAX(0,(Processing_data!$AG$17-Processing_data!$AL$17)/(Processing_data!$AJ$17-Processing_data!$AL$17))))</f>
        <v>0.26653625137547377</v>
      </c>
      <c r="P10">
        <f>IF(Processing_data!$AG$18="","",MIN(1,MAX(0,(Processing_data!$AG$18-Processing_data!$AL$18)/(Processing_data!$AJ$18-Processing_data!$AL$18))))</f>
        <v>0</v>
      </c>
      <c r="Q10">
        <f>IF(Processing_data!$AG$19="","",MIN(1,MAX(0,(Processing_data!$AG$19-Processing_data!$AL$19)/(Processing_data!$AJ$19-Processing_data!$AL$19))))</f>
        <v>0.33851821530904624</v>
      </c>
      <c r="R10">
        <f>IF(Processing_data!$AG$20="","",MIN(1,MAX(0,(Processing_data!$AG$20-Processing_data!$AL$20)/(Processing_data!$AJ$20-Processing_data!$AL$20))))</f>
        <v>0.36620132255694332</v>
      </c>
      <c r="S10">
        <f t="shared" si="0"/>
        <v>0.23056432723063691</v>
      </c>
      <c r="T10">
        <f t="shared" si="1"/>
        <v>0.14299252235941085</v>
      </c>
      <c r="U10">
        <f t="shared" si="2"/>
        <v>0.48901041063484346</v>
      </c>
      <c r="V10">
        <f t="shared" si="3"/>
        <v>0.1983809046903689</v>
      </c>
      <c r="W10">
        <f t="shared" si="4"/>
        <v>0.48564397861143727</v>
      </c>
      <c r="X10">
        <f t="shared" si="5"/>
        <v>0.13326812568773688</v>
      </c>
      <c r="Y10">
        <f t="shared" si="6"/>
        <v>0.35235976893299481</v>
      </c>
      <c r="Z10">
        <f t="shared" si="7"/>
        <v>0.30931842870533949</v>
      </c>
      <c r="AA10">
        <f t="shared" si="8"/>
        <v>0.14299252235941085</v>
      </c>
      <c r="AB10" t="str">
        <f t="shared" si="9"/>
        <v>L1</v>
      </c>
      <c r="AC10">
        <f t="shared" si="10"/>
        <v>0.90719700894376432</v>
      </c>
      <c r="AD10">
        <f t="shared" si="11"/>
        <v>0.280612753332669</v>
      </c>
      <c r="AE10">
        <f t="shared" si="12"/>
        <v>2</v>
      </c>
      <c r="AF10">
        <f t="shared" si="13"/>
        <v>6</v>
      </c>
    </row>
    <row r="11" spans="1:32" x14ac:dyDescent="0.2">
      <c r="A11" t="s">
        <v>54</v>
      </c>
      <c r="B11">
        <f>IF(Processing_data!$W$4="","",MIN(1,MAX(0,(Processing_data!$W$4-Processing_data!$AL$4)/(Processing_data!$AJ$4-Processing_data!$AL$4))))</f>
        <v>0.85551102204408802</v>
      </c>
      <c r="C11">
        <f>IF(Processing_data!$W$5="","",MIN(1,MAX(0,(Processing_data!$W$5-Processing_data!$AL$5)/(Processing_data!$AJ$5-Processing_data!$AL$5))))</f>
        <v>0.61310782241014816</v>
      </c>
      <c r="D11">
        <f>IF(Processing_data!$W$6="","",MIN(1,MAX(0,(Processing_data!$W$6-Processing_data!$AL$6)/(Processing_data!$AJ$6-Processing_data!$AL$6))))</f>
        <v>0.49249749916638874</v>
      </c>
      <c r="E11">
        <f>IF(Processing_data!$W$7="","",MIN(1,MAX(0,(Processing_data!$W$7-Processing_data!$AL$7)/(Processing_data!$AJ$7-Processing_data!$AL$7))))</f>
        <v>0.35190983093299943</v>
      </c>
      <c r="F11">
        <f>IF(Processing_data!$W$8="","",MIN(1,MAX(0,(Processing_data!$W$8-Processing_data!$AL$8)/(Processing_data!$AJ$8-Processing_data!$AL$8))))</f>
        <v>0.2831916285153695</v>
      </c>
      <c r="G11">
        <f>IF(Processing_data!$W$9="","",MIN(1,MAX(0,(Processing_data!$W$9-Processing_data!$AL$9)/(Processing_data!$AJ$9-Processing_data!$AL$9))))</f>
        <v>0.45610323672519565</v>
      </c>
      <c r="H11">
        <f>IF(Processing_data!$W$10="","",MIN(1,MAX(0,(Processing_data!$W$10-Processing_data!$AL$10)/(Processing_data!$AJ$10-Processing_data!$AL$10))))</f>
        <v>1</v>
      </c>
      <c r="I11">
        <f>IF(Processing_data!$W$11="","",MIN(1,MAX(0,(Processing_data!$W$11-Processing_data!$AL$11)/(Processing_data!$AJ$11-Processing_data!$AL$11))))</f>
        <v>0.69607843137254899</v>
      </c>
      <c r="J11">
        <f>IF(Processing_data!$W$12="","",MIN(1,MAX(0,(Processing_data!$W$12-Processing_data!$AL$12)/(Processing_data!$AJ$12-Processing_data!$AL$12))))</f>
        <v>0.95171297545184774</v>
      </c>
      <c r="K11">
        <f>IF(Processing_data!$W$13="","",MIN(1,MAX(0,(Processing_data!$W$13-Processing_data!$AL$13)/(Processing_data!$AJ$13-Processing_data!$AL$13))))</f>
        <v>0.78300784510098476</v>
      </c>
      <c r="L11">
        <f>IF(Processing_data!$W$14="","",MIN(1,MAX(0,(Processing_data!$W$14-Processing_data!$AL$14)/(Processing_data!$AJ$14-Processing_data!$AL$14))))</f>
        <v>0.96309498846718378</v>
      </c>
      <c r="M11">
        <f>IF(Processing_data!$W$15="","",MIN(1,MAX(0,(Processing_data!$W$15-Processing_data!$AL$15)/(Processing_data!$AJ$15-Processing_data!$AL$15))))</f>
        <v>0.73277310924369743</v>
      </c>
      <c r="N11">
        <f>IF(Processing_data!$W$16="","",MIN(1,MAX(0,(Processing_data!$W$16-Processing_data!$AL$16)/(Processing_data!$AJ$16-Processing_data!$AL$16))))</f>
        <v>0.7880390561432058</v>
      </c>
      <c r="O11">
        <f>IF(Processing_data!$W$17="","",MIN(1,MAX(0,(Processing_data!$W$17-Processing_data!$AL$17)/(Processing_data!$AJ$17-Processing_data!$AL$17))))</f>
        <v>0.34062843868443576</v>
      </c>
      <c r="P11">
        <f>IF(Processing_data!$W$18="","",MIN(1,MAX(0,(Processing_data!$W$18-Processing_data!$AL$18)/(Processing_data!$AJ$18-Processing_data!$AL$18))))</f>
        <v>0.86228956228956244</v>
      </c>
      <c r="Q11">
        <f>IF(Processing_data!$W$19="","",MIN(1,MAX(0,(Processing_data!$W$19-Processing_data!$AL$19)/(Processing_data!$AJ$19-Processing_data!$AL$19))))</f>
        <v>0.58002455996725333</v>
      </c>
      <c r="R11">
        <f>IF(Processing_data!$W$20="","",MIN(1,MAX(0,(Processing_data!$W$20-Processing_data!$AL$20)/(Processing_data!$AJ$20-Processing_data!$AL$20))))</f>
        <v>0.75635562086700936</v>
      </c>
      <c r="S11">
        <f t="shared" si="0"/>
        <v>0.65370544787354168</v>
      </c>
      <c r="T11">
        <f t="shared" si="1"/>
        <v>0.31755072972418447</v>
      </c>
      <c r="U11">
        <f t="shared" si="2"/>
        <v>0.71739388936591497</v>
      </c>
      <c r="V11">
        <f t="shared" si="3"/>
        <v>0.8673604102764163</v>
      </c>
      <c r="W11">
        <f t="shared" si="4"/>
        <v>0.82796905128469567</v>
      </c>
      <c r="X11">
        <f t="shared" si="5"/>
        <v>0.60145900048699907</v>
      </c>
      <c r="Y11">
        <f t="shared" si="6"/>
        <v>0.6681900904171314</v>
      </c>
      <c r="Z11">
        <f t="shared" si="7"/>
        <v>0.67679590570495063</v>
      </c>
      <c r="AA11">
        <f t="shared" si="8"/>
        <v>0.31755072972418447</v>
      </c>
      <c r="AB11" t="str">
        <f t="shared" si="9"/>
        <v>L1</v>
      </c>
      <c r="AC11">
        <f t="shared" si="10"/>
        <v>0.97702029188967376</v>
      </c>
      <c r="AD11">
        <f t="shared" si="11"/>
        <v>0.66124333334158703</v>
      </c>
      <c r="AE11">
        <f t="shared" si="12"/>
        <v>4</v>
      </c>
      <c r="AF11">
        <f t="shared" si="13"/>
        <v>1</v>
      </c>
    </row>
    <row r="12" spans="1:32" x14ac:dyDescent="0.2">
      <c r="A12" t="s">
        <v>56</v>
      </c>
      <c r="B12">
        <f>IF(Processing_data!$Y$4="","",MIN(1,MAX(0,(Processing_data!$Y$4-Processing_data!$AL$4)/(Processing_data!$AJ$4-Processing_data!$AL$4))))</f>
        <v>0.57675350701402794</v>
      </c>
      <c r="C12">
        <f>IF(Processing_data!$Y$5="","",MIN(1,MAX(0,(Processing_data!$Y$5-Processing_data!$AL$5)/(Processing_data!$AJ$5-Processing_data!$AL$5))))</f>
        <v>0.64217758985200857</v>
      </c>
      <c r="D12">
        <f>IF(Processing_data!$Y$6="","",MIN(1,MAX(0,(Processing_data!$Y$6-Processing_data!$AL$6)/(Processing_data!$AJ$6-Processing_data!$AL$6))))</f>
        <v>0.7472490830276759</v>
      </c>
      <c r="E12">
        <f>IF(Processing_data!$Y$7="","",MIN(1,MAX(0,(Processing_data!$Y$7-Processing_data!$AL$7)/(Processing_data!$AJ$7-Processing_data!$AL$7))))</f>
        <v>0.25360050093926118</v>
      </c>
      <c r="F12">
        <f>IF(Processing_data!$Y$8="","",MIN(1,MAX(0,(Processing_data!$Y$8-Processing_data!$AL$8)/(Processing_data!$AJ$8-Processing_data!$AL$8))))</f>
        <v>0.10856769130150425</v>
      </c>
      <c r="G12">
        <f>IF(Processing_data!$Y$9="","",MIN(1,MAX(0,(Processing_data!$Y$9-Processing_data!$AL$9)/(Processing_data!$AJ$9-Processing_data!$AL$9))))</f>
        <v>0.31288343558282206</v>
      </c>
      <c r="H12">
        <f>IF(Processing_data!$Y$10="","",MIN(1,MAX(0,(Processing_data!$Y$10-Processing_data!$AL$10)/(Processing_data!$AJ$10-Processing_data!$AL$10))))</f>
        <v>0.57709987463435031</v>
      </c>
      <c r="I12">
        <f>IF(Processing_data!$Y$11="","",MIN(1,MAX(0,(Processing_data!$Y$11-Processing_data!$AL$11)/(Processing_data!$AJ$11-Processing_data!$AL$11))))</f>
        <v>0.5012569130216189</v>
      </c>
      <c r="J12">
        <f>IF(Processing_data!$Y$12="","",MIN(1,MAX(0,(Processing_data!$Y$12-Processing_data!$AL$12)/(Processing_data!$AJ$12-Processing_data!$AL$12))))</f>
        <v>0.84219045049905561</v>
      </c>
      <c r="K12">
        <f>IF(Processing_data!$Y$13="","",MIN(1,MAX(0,(Processing_data!$Y$13-Processing_data!$AL$13)/(Processing_data!$AJ$13-Processing_data!$AL$13))))</f>
        <v>0.36805207811717572</v>
      </c>
      <c r="L12">
        <f>IF(Processing_data!$Y$14="","",MIN(1,MAX(0,(Processing_data!$Y$14-Processing_data!$AL$14)/(Processing_data!$AJ$14-Processing_data!$AL$14))))</f>
        <v>0.57370517928286846</v>
      </c>
      <c r="M12">
        <f>IF(Processing_data!$Y$15="","",MIN(1,MAX(0,(Processing_data!$Y$15-Processing_data!$AL$15)/(Processing_data!$AJ$15-Processing_data!$AL$15))))</f>
        <v>0.50117647058823545</v>
      </c>
      <c r="N12">
        <f>IF(Processing_data!$Y$16="","",MIN(1,MAX(0,(Processing_data!$Y$16-Processing_data!$AL$16)/(Processing_data!$AJ$16-Processing_data!$AL$16))))</f>
        <v>0.26322213181448334</v>
      </c>
      <c r="O12">
        <f>IF(Processing_data!$Y$17="","",MIN(1,MAX(0,(Processing_data!$Y$17-Processing_data!$AL$17)/(Processing_data!$AJ$17-Processing_data!$AL$17))))</f>
        <v>0.2698373884337939</v>
      </c>
      <c r="P12">
        <f>IF(Processing_data!$Y$18="","",MIN(1,MAX(0,(Processing_data!$Y$18-Processing_data!$AL$18)/(Processing_data!$AJ$18-Processing_data!$AL$18))))</f>
        <v>0.4329966329966331</v>
      </c>
      <c r="Q12">
        <f>IF(Processing_data!$Y$19="","",MIN(1,MAX(0,(Processing_data!$Y$19-Processing_data!$AL$19)/(Processing_data!$AJ$19-Processing_data!$AL$19))))</f>
        <v>0.39909946786737616</v>
      </c>
      <c r="R12">
        <f>IF(Processing_data!$Y$20="","",MIN(1,MAX(0,(Processing_data!$Y$20-Processing_data!$AL$20)/(Processing_data!$AJ$20-Processing_data!$AL$20))))</f>
        <v>0.52417340191035999</v>
      </c>
      <c r="S12">
        <f t="shared" si="0"/>
        <v>0.65539339329790414</v>
      </c>
      <c r="T12">
        <f t="shared" si="1"/>
        <v>0.1810840961203827</v>
      </c>
      <c r="U12">
        <f t="shared" si="2"/>
        <v>0.46374674107959707</v>
      </c>
      <c r="V12">
        <f t="shared" si="3"/>
        <v>0.60512126430811564</v>
      </c>
      <c r="W12">
        <f t="shared" si="4"/>
        <v>0.44603459389519579</v>
      </c>
      <c r="X12">
        <f t="shared" si="5"/>
        <v>0.35141701071521347</v>
      </c>
      <c r="Y12">
        <f t="shared" si="6"/>
        <v>0.46163643488886807</v>
      </c>
      <c r="Z12">
        <f t="shared" si="7"/>
        <v>0.47027601774023908</v>
      </c>
      <c r="AA12">
        <f t="shared" si="8"/>
        <v>0.1810840961203827</v>
      </c>
      <c r="AB12" t="str">
        <f t="shared" si="9"/>
        <v>L1</v>
      </c>
      <c r="AC12">
        <f t="shared" si="10"/>
        <v>0.92243363844815307</v>
      </c>
      <c r="AD12">
        <f t="shared" si="11"/>
        <v>0.43379841811903691</v>
      </c>
      <c r="AE12">
        <f t="shared" si="12"/>
        <v>3</v>
      </c>
      <c r="AF12">
        <f t="shared" si="13"/>
        <v>4</v>
      </c>
    </row>
    <row r="13" spans="1:32" x14ac:dyDescent="0.2">
      <c r="A13" t="s">
        <v>45</v>
      </c>
      <c r="B13">
        <f>IF(Processing_data!$N$4="","",MIN(1,MAX(0,(Processing_data!$N$4-Processing_data!$AL$4)/(Processing_data!$AJ$4-Processing_data!$AL$4))))</f>
        <v>0.41503006012024041</v>
      </c>
      <c r="C13">
        <f>IF(Processing_data!$N$5="","",MIN(1,MAX(0,(Processing_data!$N$5-Processing_data!$AL$5)/(Processing_data!$AJ$5-Processing_data!$AL$5))))</f>
        <v>0.51268498942917562</v>
      </c>
      <c r="D13">
        <f>IF(Processing_data!$N$6="","",MIN(1,MAX(0,(Processing_data!$N$6-Processing_data!$AL$6)/(Processing_data!$AJ$6-Processing_data!$AL$6))))</f>
        <v>0.57135711903968001</v>
      </c>
      <c r="E13">
        <f>IF(Processing_data!$N$7="","",MIN(1,MAX(0,(Processing_data!$N$7-Processing_data!$AL$7)/(Processing_data!$AJ$7-Processing_data!$AL$7))))</f>
        <v>0.15153412648716347</v>
      </c>
      <c r="F13">
        <f>IF(Processing_data!$N$8="","",MIN(1,MAX(0,(Processing_data!$N$8-Processing_data!$AL$8)/(Processing_data!$AJ$8-Processing_data!$AL$8))))</f>
        <v>0.43427076520601698</v>
      </c>
      <c r="G13">
        <f>IF(Processing_data!$N$9="","",MIN(1,MAX(0,(Processing_data!$N$9-Processing_data!$AL$9)/(Processing_data!$AJ$9-Processing_data!$AL$9))))</f>
        <v>0.56864819124180233</v>
      </c>
      <c r="H13">
        <f>IF(Processing_data!$N$10="","",MIN(1,MAX(0,(Processing_data!$N$10-Processing_data!$AL$10)/(Processing_data!$AJ$10-Processing_data!$AL$10))))</f>
        <v>0.65921437526117854</v>
      </c>
      <c r="I13">
        <f>IF(Processing_data!$N$11="","",MIN(1,MAX(0,(Processing_data!$N$11-Processing_data!$AL$11)/(Processing_data!$AJ$11-Processing_data!$AL$11))))</f>
        <v>0.38360985419808952</v>
      </c>
      <c r="J13">
        <f>IF(Processing_data!$N$12="","",MIN(1,MAX(0,(Processing_data!$N$12-Processing_data!$AL$12)/(Processing_data!$AJ$12-Processing_data!$AL$12))))</f>
        <v>0.7243053682222822</v>
      </c>
      <c r="K13">
        <f>IF(Processing_data!$N$13="","",MIN(1,MAX(0,(Processing_data!$N$13-Processing_data!$AL$13)/(Processing_data!$AJ$13-Processing_data!$AL$13))))</f>
        <v>0.90869637790018365</v>
      </c>
      <c r="L13">
        <f>IF(Processing_data!$N$14="","",MIN(1,MAX(0,(Processing_data!$N$14-Processing_data!$AL$14)/(Processing_data!$AJ$14-Processing_data!$AL$14))))</f>
        <v>0.68043615013629688</v>
      </c>
      <c r="M13">
        <f>IF(Processing_data!$N$15="","",MIN(1,MAX(0,(Processing_data!$N$15-Processing_data!$AL$15)/(Processing_data!$AJ$15-Processing_data!$AL$15))))</f>
        <v>0.52941176470588236</v>
      </c>
      <c r="N13">
        <f>IF(Processing_data!$N$16="","",MIN(1,MAX(0,(Processing_data!$N$16-Processing_data!$AL$16)/(Processing_data!$AJ$16-Processing_data!$AL$16))))</f>
        <v>0.19283970707892598</v>
      </c>
      <c r="O13">
        <f>IF(Processing_data!$N$17="","",MIN(1,MAX(0,(Processing_data!$N$17-Processing_data!$AL$17)/(Processing_data!$AJ$17-Processing_data!$AL$17))))</f>
        <v>0.76109548844602026</v>
      </c>
      <c r="P13">
        <f>IF(Processing_data!$N$18="","",MIN(1,MAX(0,(Processing_data!$N$18-Processing_data!$AL$18)/(Processing_data!$AJ$18-Processing_data!$AL$18))))</f>
        <v>0.44545454545454549</v>
      </c>
      <c r="Q13">
        <f>IF(Processing_data!$N$19="","",MIN(1,MAX(0,(Processing_data!$N$19-Processing_data!$AL$19)/(Processing_data!$AJ$19-Processing_data!$AL$19))))</f>
        <v>0.58862054850593526</v>
      </c>
      <c r="R13">
        <f>IF(Processing_data!$N$20="","",MIN(1,MAX(0,(Processing_data!$N$20-Processing_data!$AL$20)/(Processing_data!$AJ$20-Processing_data!$AL$20))))</f>
        <v>0.63335782512858196</v>
      </c>
      <c r="S13">
        <f t="shared" si="0"/>
        <v>0.49969072286303201</v>
      </c>
      <c r="T13">
        <f t="shared" si="1"/>
        <v>0.2929024458465902</v>
      </c>
      <c r="U13">
        <f t="shared" si="2"/>
        <v>0.53715747356702348</v>
      </c>
      <c r="V13">
        <f t="shared" si="3"/>
        <v>0.81650087306123287</v>
      </c>
      <c r="W13">
        <f t="shared" si="4"/>
        <v>0.46756254064036845</v>
      </c>
      <c r="X13">
        <f t="shared" si="5"/>
        <v>0.60327501695028285</v>
      </c>
      <c r="Y13">
        <f t="shared" si="6"/>
        <v>0.61098918681725856</v>
      </c>
      <c r="Z13">
        <f t="shared" si="7"/>
        <v>0.52276281119564938</v>
      </c>
      <c r="AA13">
        <f t="shared" si="8"/>
        <v>0.2929024458465902</v>
      </c>
      <c r="AB13" t="str">
        <f t="shared" si="9"/>
        <v>L1</v>
      </c>
      <c r="AC13">
        <f t="shared" si="10"/>
        <v>0.96716097833863612</v>
      </c>
      <c r="AD13">
        <f t="shared" si="11"/>
        <v>0.50559579191504</v>
      </c>
      <c r="AE13">
        <f t="shared" si="12"/>
        <v>3</v>
      </c>
      <c r="AF13">
        <f t="shared" si="13"/>
        <v>3</v>
      </c>
    </row>
    <row r="14" spans="1:32" x14ac:dyDescent="0.2">
      <c r="A14" t="s">
        <v>40</v>
      </c>
      <c r="B14">
        <f>IF(Processing_data!$I$4="","",MIN(1,MAX(0,(Processing_data!$I$4-Processing_data!$AL$4)/(Processing_data!$AJ$4-Processing_data!$AL$4))))</f>
        <v>8.5571142284569121E-2</v>
      </c>
      <c r="C14">
        <f>IF(Processing_data!$I$5="","",MIN(1,MAX(0,(Processing_data!$I$5-Processing_data!$AL$5)/(Processing_data!$AJ$5-Processing_data!$AL$5))))</f>
        <v>0.16279069767441864</v>
      </c>
      <c r="D14">
        <f>IF(Processing_data!$I$6="","",MIN(1,MAX(0,(Processing_data!$I$6-Processing_data!$AL$6)/(Processing_data!$AJ$6-Processing_data!$AL$6))))</f>
        <v>0</v>
      </c>
      <c r="E14">
        <f>IF(Processing_data!$I$7="","",MIN(1,MAX(0,(Processing_data!$I$7-Processing_data!$AL$7)/(Processing_data!$AJ$7-Processing_data!$AL$7))))</f>
        <v>0</v>
      </c>
      <c r="F14">
        <f>IF(Processing_data!$I$8="","",MIN(1,MAX(0,(Processing_data!$I$8-Processing_data!$AL$8)/(Processing_data!$AJ$8-Processing_data!$AL$8))))</f>
        <v>0</v>
      </c>
      <c r="G14">
        <f>IF(Processing_data!$I$9="","",MIN(1,MAX(0,(Processing_data!$I$9-Processing_data!$AL$9)/(Processing_data!$AJ$9-Processing_data!$AL$9))))</f>
        <v>9.6467103871377177E-2</v>
      </c>
      <c r="H14">
        <f>IF(Processing_data!$I$10="","",MIN(1,MAX(0,(Processing_data!$I$10-Processing_data!$AL$10)/(Processing_data!$AJ$10-Processing_data!$AL$10))))</f>
        <v>8.6502298370246561E-2</v>
      </c>
      <c r="I14">
        <f>IF(Processing_data!$I$11="","",MIN(1,MAX(0,(Processing_data!$I$11-Processing_data!$AL$11)/(Processing_data!$AJ$11-Processing_data!$AL$11))))</f>
        <v>0.12996480643539465</v>
      </c>
      <c r="J14">
        <f>IF(Processing_data!$I$12="","",MIN(1,MAX(0,(Processing_data!$I$12-Processing_data!$AL$12)/(Processing_data!$AJ$12-Processing_data!$AL$12))))</f>
        <v>0.36903156190990016</v>
      </c>
      <c r="K14">
        <f>IF(Processing_data!$I$13="","",MIN(1,MAX(0,(Processing_data!$I$13-Processing_data!$AL$13)/(Processing_data!$AJ$13-Processing_data!$AL$13))))</f>
        <v>0</v>
      </c>
      <c r="L14">
        <f>IF(Processing_data!$I$14="","",MIN(1,MAX(0,(Processing_data!$I$14-Processing_data!$AL$14)/(Processing_data!$AJ$14-Processing_data!$AL$14))))</f>
        <v>5.2421891381841052E-3</v>
      </c>
      <c r="M14">
        <f>IF(Processing_data!$I$15="","",MIN(1,MAX(0,(Processing_data!$I$15-Processing_data!$AL$15)/(Processing_data!$AJ$15-Processing_data!$AL$15))))</f>
        <v>0.12840336134453784</v>
      </c>
      <c r="N14">
        <f>IF(Processing_data!$I$16="","",MIN(1,MAX(0,(Processing_data!$I$16-Processing_data!$AL$16)/(Processing_data!$AJ$16-Processing_data!$AL$16))))</f>
        <v>0</v>
      </c>
      <c r="O14">
        <f>IF(Processing_data!$I$17="","",MIN(1,MAX(0,(Processing_data!$I$17-Processing_data!$AL$17)/(Processing_data!$AJ$17-Processing_data!$AL$17))))</f>
        <v>4.6460447487467908E-2</v>
      </c>
      <c r="P14">
        <f>IF(Processing_data!$I$18="","",MIN(1,MAX(0,(Processing_data!$I$18-Processing_data!$AL$18)/(Processing_data!$AJ$18-Processing_data!$AL$18))))</f>
        <v>3.6026936026936039E-2</v>
      </c>
      <c r="Q14">
        <f>IF(Processing_data!$I$19="","",MIN(1,MAX(0,(Processing_data!$I$19-Processing_data!$AL$19)/(Processing_data!$AJ$19-Processing_data!$AL$19))))</f>
        <v>0.10929185427752763</v>
      </c>
      <c r="R14">
        <f>IF(Processing_data!$I$20="","",MIN(1,MAX(0,(Processing_data!$I$20-Processing_data!$AL$20)/(Processing_data!$AJ$20-Processing_data!$AL$20))))</f>
        <v>0</v>
      </c>
      <c r="S14">
        <f t="shared" si="0"/>
        <v>8.2787279986329246E-2</v>
      </c>
      <c r="T14">
        <f t="shared" si="1"/>
        <v>0</v>
      </c>
      <c r="U14">
        <f t="shared" si="2"/>
        <v>0.10431140289233946</v>
      </c>
      <c r="V14">
        <f t="shared" si="3"/>
        <v>0.18451578095495008</v>
      </c>
      <c r="W14">
        <f t="shared" si="4"/>
        <v>4.4548516827573985E-2</v>
      </c>
      <c r="X14">
        <f t="shared" si="5"/>
        <v>4.1243691757201974E-2</v>
      </c>
      <c r="Y14">
        <f t="shared" si="6"/>
        <v>5.4645927138763817E-2</v>
      </c>
      <c r="Z14">
        <f t="shared" si="7"/>
        <v>8.3232596132238559E-2</v>
      </c>
      <c r="AA14">
        <f t="shared" si="8"/>
        <v>0</v>
      </c>
      <c r="AB14" t="str">
        <f t="shared" si="9"/>
        <v>L1</v>
      </c>
      <c r="AC14">
        <f t="shared" si="10"/>
        <v>0.85</v>
      </c>
      <c r="AD14">
        <f t="shared" si="11"/>
        <v>7.0747706712402769E-2</v>
      </c>
      <c r="AE14">
        <f t="shared" si="12"/>
        <v>1</v>
      </c>
      <c r="AF14">
        <f t="shared" si="13"/>
        <v>10</v>
      </c>
    </row>
    <row r="15" spans="1:32" x14ac:dyDescent="0.2">
      <c r="A15" t="s">
        <v>130</v>
      </c>
      <c r="B15">
        <f>IF(Processing_data!$AI$4="","",MIN(1,MAX(0,(Processing_data!$AI$4-Processing_data!$AL$4)/(Processing_data!$AJ$4-Processing_data!$AL$4))))</f>
        <v>7.775551102204406E-2</v>
      </c>
      <c r="C15">
        <f>IF(Processing_data!$AI$5="","",MIN(1,MAX(0,(Processing_data!$AI$5-Processing_data!$AL$5)/(Processing_data!$AJ$5-Processing_data!$AL$5))))</f>
        <v>0</v>
      </c>
      <c r="D15">
        <f>IF(Processing_data!$AI$6="","",MIN(1,MAX(0,(Processing_data!$AI$6-Processing_data!$AL$6)/(Processing_data!$AJ$6-Processing_data!$AL$6))))</f>
        <v>2.3841280426808931E-2</v>
      </c>
      <c r="E15">
        <f>IF(Processing_data!$AI$7="","",MIN(1,MAX(0,(Processing_data!$AI$7-Processing_data!$AL$7)/(Processing_data!$AJ$7-Processing_data!$AL$7))))</f>
        <v>0.1809643080776456</v>
      </c>
      <c r="F15">
        <f>IF(Processing_data!$AI$8="","",MIN(1,MAX(0,(Processing_data!$AI$8-Processing_data!$AL$8)/(Processing_data!$AJ$8-Processing_data!$AL$8))))</f>
        <v>0.10431654676258992</v>
      </c>
      <c r="G15">
        <f>IF(Processing_data!$AI$9="","",MIN(1,MAX(0,(Processing_data!$AI$9-Processing_data!$AL$9)/(Processing_data!$AJ$9-Processing_data!$AL$9))))</f>
        <v>0.55108948593188067</v>
      </c>
      <c r="H15">
        <f>IF(Processing_data!$AI$10="","",MIN(1,MAX(0,(Processing_data!$AI$10-Processing_data!$AL$10)/(Processing_data!$AJ$10-Processing_data!$AL$10))))</f>
        <v>5.3907229419139197E-2</v>
      </c>
      <c r="I15">
        <f>IF(Processing_data!$AI$11="","",MIN(1,MAX(0,(Processing_data!$AI$11-Processing_data!$AL$11)/(Processing_data!$AJ$11-Processing_data!$AL$11))))</f>
        <v>0</v>
      </c>
      <c r="J15">
        <f>IF(Processing_data!$AI$12="","",MIN(1,MAX(0,(Processing_data!$AI$12-Processing_data!$AL$12)/(Processing_data!$AJ$12-Processing_data!$AL$12))))</f>
        <v>0</v>
      </c>
      <c r="K15">
        <f>IF(Processing_data!$AI$13="","",MIN(1,MAX(0,(Processing_data!$AI$13-Processing_data!$AL$13)/(Processing_data!$AJ$13-Processing_data!$AL$13))))</f>
        <v>9.3139709564346487E-2</v>
      </c>
      <c r="L15">
        <f>IF(Processing_data!$AI$14="","",MIN(1,MAX(0,(Processing_data!$AI$14-Processing_data!$AL$14)/(Processing_data!$AJ$14-Processing_data!$AL$14))))</f>
        <v>4.8018452505766425E-2</v>
      </c>
      <c r="M15">
        <f>IF(Processing_data!$AI$15="","",MIN(1,MAX(0,(Processing_data!$AI$15-Processing_data!$AL$15)/(Processing_data!$AJ$15-Processing_data!$AL$15))))</f>
        <v>8.4537815126050436E-2</v>
      </c>
      <c r="N15">
        <f>IF(Processing_data!$AI$16="","",MIN(1,MAX(0,(Processing_data!$AI$16-Processing_data!$AL$16)/(Processing_data!$AJ$16-Processing_data!$AL$16))))</f>
        <v>9.3572009764035981E-3</v>
      </c>
      <c r="O15">
        <f>IF(Processing_data!$AI$17="","",MIN(1,MAX(0,(Processing_data!$AI$17-Processing_data!$AL$17)/(Processing_data!$AJ$17-Processing_data!$AL$17))))</f>
        <v>0.26494681501406037</v>
      </c>
      <c r="P15">
        <f>IF(Processing_data!$AI$18="","",MIN(1,MAX(0,(Processing_data!$AI$18-Processing_data!$AL$18)/(Processing_data!$AJ$18-Processing_data!$AL$18))))</f>
        <v>5.0505050505050511E-2</v>
      </c>
      <c r="Q15">
        <f>IF(Processing_data!$AI$19="","",MIN(1,MAX(0,(Processing_data!$AI$19-Processing_data!$AL$19)/(Processing_data!$AJ$19-Processing_data!$AL$19))))</f>
        <v>0.12075317232910357</v>
      </c>
      <c r="R15">
        <f>IF(Processing_data!$AI$20="","",MIN(1,MAX(0,(Processing_data!$AI$20-Processing_data!$AL$20)/(Processing_data!$AJ$20-Processing_data!$AL$20))))</f>
        <v>0</v>
      </c>
      <c r="S15">
        <f t="shared" si="0"/>
        <v>3.3865597149617663E-2</v>
      </c>
      <c r="T15">
        <f t="shared" si="1"/>
        <v>0.14264042742011776</v>
      </c>
      <c r="U15">
        <f t="shared" si="2"/>
        <v>0.20166557178367328</v>
      </c>
      <c r="V15">
        <f t="shared" si="3"/>
        <v>4.6569854782173244E-2</v>
      </c>
      <c r="W15">
        <f t="shared" si="4"/>
        <v>4.7304489536073489E-2</v>
      </c>
      <c r="X15">
        <f t="shared" si="5"/>
        <v>0.15772593275955543</v>
      </c>
      <c r="Y15">
        <f t="shared" si="6"/>
        <v>6.0376586164551785E-2</v>
      </c>
      <c r="Z15">
        <f t="shared" si="7"/>
        <v>9.4409188134331079E-2</v>
      </c>
      <c r="AA15">
        <f t="shared" si="8"/>
        <v>3.3865597149617663E-2</v>
      </c>
      <c r="AB15" t="str">
        <f t="shared" si="9"/>
        <v>C</v>
      </c>
      <c r="AC15">
        <f t="shared" si="10"/>
        <v>0.86354623885984705</v>
      </c>
      <c r="AD15">
        <f t="shared" si="11"/>
        <v>8.1526699327213306E-2</v>
      </c>
      <c r="AE15">
        <f t="shared" si="12"/>
        <v>1</v>
      </c>
      <c r="AF15">
        <f t="shared" si="13"/>
        <v>9</v>
      </c>
    </row>
    <row r="18" spans="1:2" x14ac:dyDescent="0.2">
      <c r="A18" s="3" t="s">
        <v>239</v>
      </c>
      <c r="B18">
        <f>1-6*SUMPRODUCT((Processing_index!$AF$6:$AF$15-$AF$6:$AF$15)^2)/(10*(10^2-1))</f>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12"/>
  <sheetViews>
    <sheetView workbookViewId="0"/>
  </sheetViews>
  <sheetFormatPr baseColWidth="10" defaultColWidth="8.83203125" defaultRowHeight="15" x14ac:dyDescent="0.2"/>
  <cols>
    <col min="1" max="1" width="34" customWidth="1"/>
  </cols>
  <sheetData>
    <row r="1" spans="1:15" ht="17" x14ac:dyDescent="0.2">
      <c r="A1" s="1" t="s">
        <v>240</v>
      </c>
    </row>
    <row r="3" spans="1:15" x14ac:dyDescent="0.2">
      <c r="A3" s="3" t="s">
        <v>241</v>
      </c>
    </row>
    <row r="4" spans="1:15" x14ac:dyDescent="0.2">
      <c r="D4" s="4">
        <v>0</v>
      </c>
      <c r="F4" s="4">
        <v>0.2</v>
      </c>
      <c r="H4" s="4">
        <v>0.4</v>
      </c>
      <c r="J4" s="4">
        <v>0.6</v>
      </c>
      <c r="L4" s="4">
        <v>0.8</v>
      </c>
      <c r="N4" s="4">
        <v>1</v>
      </c>
    </row>
    <row r="5" spans="1:15" x14ac:dyDescent="0.2">
      <c r="A5" s="3" t="s">
        <v>125</v>
      </c>
      <c r="B5" s="3" t="s">
        <v>208</v>
      </c>
      <c r="C5" s="3" t="s">
        <v>209</v>
      </c>
      <c r="D5" s="3" t="s">
        <v>212</v>
      </c>
      <c r="E5" s="3" t="s">
        <v>225</v>
      </c>
      <c r="F5" s="3" t="s">
        <v>212</v>
      </c>
      <c r="G5" s="3" t="s">
        <v>225</v>
      </c>
      <c r="H5" s="3" t="s">
        <v>212</v>
      </c>
      <c r="I5" s="3" t="s">
        <v>225</v>
      </c>
      <c r="J5" s="3" t="s">
        <v>212</v>
      </c>
      <c r="K5" s="3" t="s">
        <v>225</v>
      </c>
      <c r="L5" s="3" t="s">
        <v>212</v>
      </c>
      <c r="M5" s="3" t="s">
        <v>225</v>
      </c>
      <c r="N5" s="3" t="s">
        <v>212</v>
      </c>
      <c r="O5" s="3" t="s">
        <v>225</v>
      </c>
    </row>
    <row r="6" spans="1:15" x14ac:dyDescent="0.2">
      <c r="A6" t="s">
        <v>59</v>
      </c>
      <c r="B6">
        <f>Processing_index!$Z$6</f>
        <v>0.54346746564982107</v>
      </c>
      <c r="C6">
        <f>Processing_index!$AA$6</f>
        <v>0.34867747763835871</v>
      </c>
      <c r="D6">
        <f t="shared" ref="D6:D15" si="0">$B6*(1-D$4*MAX(0,delta-$C6))</f>
        <v>0.54346746564982107</v>
      </c>
      <c r="E6">
        <f t="shared" ref="E6:E15" si="1">1+COUNTIF($D$6:$D$15,"&gt;"&amp;D6)</f>
        <v>5</v>
      </c>
      <c r="F6">
        <f t="shared" ref="F6:F15" si="2">$B6*(1-F$4*MAX(0,delta-$C6))</f>
        <v>0.54060637874634265</v>
      </c>
      <c r="G6">
        <f t="shared" ref="G6:G15" si="3">1+COUNTIF($F$6:$F$15,"&gt;"&amp;F6)</f>
        <v>5</v>
      </c>
      <c r="H6">
        <f t="shared" ref="H6:H15" si="4">$B6*(1-H$4*MAX(0,delta-$C6))</f>
        <v>0.53774529184286435</v>
      </c>
      <c r="I6">
        <f t="shared" ref="I6:I15" si="5">1+COUNTIF($H$6:$H$15,"&gt;"&amp;H6)</f>
        <v>5</v>
      </c>
      <c r="J6">
        <f t="shared" ref="J6:J15" si="6">$B6*(1-J$4*MAX(0,delta-$C6))</f>
        <v>0.53488420493938593</v>
      </c>
      <c r="K6">
        <f t="shared" ref="K6:K15" si="7">1+COUNTIF($J$6:$J$15,"&gt;"&amp;J6)</f>
        <v>4</v>
      </c>
      <c r="L6">
        <f t="shared" ref="L6:L15" si="8">$B6*(1-L$4*MAX(0,delta-$C6))</f>
        <v>0.53202311803590752</v>
      </c>
      <c r="M6">
        <f t="shared" ref="M6:M15" si="9">1+COUNTIF($L$6:$L$15,"&gt;"&amp;L6)</f>
        <v>4</v>
      </c>
      <c r="N6">
        <f t="shared" ref="N6:N15" si="10">$B6*(1-N$4*MAX(0,delta-$C6))</f>
        <v>0.52916203113242921</v>
      </c>
      <c r="O6">
        <f t="shared" ref="O6:O15" si="11">1+COUNTIF($N$6:$N$15,"&gt;"&amp;N6)</f>
        <v>4</v>
      </c>
    </row>
    <row r="7" spans="1:15" x14ac:dyDescent="0.2">
      <c r="A7" t="s">
        <v>51</v>
      </c>
      <c r="B7">
        <f>Processing_index!$Z$7</f>
        <v>0.44130743002372058</v>
      </c>
      <c r="C7">
        <f>Processing_index!$AA$7</f>
        <v>0.29262275048702674</v>
      </c>
      <c r="D7">
        <f t="shared" si="0"/>
        <v>0.44130743002372058</v>
      </c>
      <c r="E7">
        <f t="shared" si="1"/>
        <v>7</v>
      </c>
      <c r="F7">
        <f t="shared" si="2"/>
        <v>0.43403669156872199</v>
      </c>
      <c r="G7">
        <f t="shared" si="3"/>
        <v>7</v>
      </c>
      <c r="H7">
        <f t="shared" si="4"/>
        <v>0.4267659531137234</v>
      </c>
      <c r="I7">
        <f t="shared" si="5"/>
        <v>7</v>
      </c>
      <c r="J7">
        <f t="shared" si="6"/>
        <v>0.4194952146587248</v>
      </c>
      <c r="K7">
        <f t="shared" si="7"/>
        <v>7</v>
      </c>
      <c r="L7">
        <f t="shared" si="8"/>
        <v>0.41222447620372621</v>
      </c>
      <c r="M7">
        <f t="shared" si="9"/>
        <v>7</v>
      </c>
      <c r="N7">
        <f t="shared" si="10"/>
        <v>0.40495373774872756</v>
      </c>
      <c r="O7">
        <f t="shared" si="11"/>
        <v>7</v>
      </c>
    </row>
    <row r="8" spans="1:15" x14ac:dyDescent="0.2">
      <c r="A8" t="s">
        <v>61</v>
      </c>
      <c r="B8">
        <f>Processing_index!$Z$8</f>
        <v>0.38101874562558558</v>
      </c>
      <c r="C8">
        <f>Processing_index!$AA$8</f>
        <v>0.24148819253858789</v>
      </c>
      <c r="D8">
        <f t="shared" si="0"/>
        <v>0.38101874562558558</v>
      </c>
      <c r="E8">
        <f t="shared" si="1"/>
        <v>8</v>
      </c>
      <c r="F8">
        <f t="shared" si="2"/>
        <v>0.37084464534455519</v>
      </c>
      <c r="G8">
        <f t="shared" si="3"/>
        <v>8</v>
      </c>
      <c r="H8">
        <f t="shared" si="4"/>
        <v>0.36067054506352481</v>
      </c>
      <c r="I8">
        <f t="shared" si="5"/>
        <v>8</v>
      </c>
      <c r="J8">
        <f t="shared" si="6"/>
        <v>0.35049644478249442</v>
      </c>
      <c r="K8">
        <f t="shared" si="7"/>
        <v>8</v>
      </c>
      <c r="L8">
        <f t="shared" si="8"/>
        <v>0.34032234450146404</v>
      </c>
      <c r="M8">
        <f t="shared" si="9"/>
        <v>8</v>
      </c>
      <c r="N8">
        <f t="shared" si="10"/>
        <v>0.33014824422043365</v>
      </c>
      <c r="O8">
        <f t="shared" si="11"/>
        <v>8</v>
      </c>
    </row>
    <row r="9" spans="1:15" x14ac:dyDescent="0.2">
      <c r="A9" t="s">
        <v>42</v>
      </c>
      <c r="B9">
        <f>Processing_index!$Z$9</f>
        <v>0.64280316374369395</v>
      </c>
      <c r="C9">
        <f>Processing_index!$AA$9</f>
        <v>0.44228904942330344</v>
      </c>
      <c r="D9">
        <f t="shared" si="0"/>
        <v>0.64280316374369395</v>
      </c>
      <c r="E9">
        <f t="shared" si="1"/>
        <v>2</v>
      </c>
      <c r="F9">
        <f t="shared" si="2"/>
        <v>0.64280316374369395</v>
      </c>
      <c r="G9">
        <f t="shared" si="3"/>
        <v>2</v>
      </c>
      <c r="H9">
        <f t="shared" si="4"/>
        <v>0.64280316374369395</v>
      </c>
      <c r="I9">
        <f t="shared" si="5"/>
        <v>2</v>
      </c>
      <c r="J9">
        <f t="shared" si="6"/>
        <v>0.64280316374369395</v>
      </c>
      <c r="K9">
        <f t="shared" si="7"/>
        <v>2</v>
      </c>
      <c r="L9">
        <f t="shared" si="8"/>
        <v>0.64280316374369395</v>
      </c>
      <c r="M9">
        <f t="shared" si="9"/>
        <v>2</v>
      </c>
      <c r="N9">
        <f t="shared" si="10"/>
        <v>0.64280316374369395</v>
      </c>
      <c r="O9">
        <f t="shared" si="11"/>
        <v>2</v>
      </c>
    </row>
    <row r="10" spans="1:15" x14ac:dyDescent="0.2">
      <c r="A10" t="s">
        <v>64</v>
      </c>
      <c r="B10">
        <f>Processing_index!$Z$10</f>
        <v>0.47229045808172937</v>
      </c>
      <c r="C10">
        <f>Processing_index!$AA$10</f>
        <v>0.23499113477492253</v>
      </c>
      <c r="D10">
        <f t="shared" si="0"/>
        <v>0.47229045808172937</v>
      </c>
      <c r="E10">
        <f t="shared" si="1"/>
        <v>6</v>
      </c>
      <c r="F10">
        <f t="shared" si="2"/>
        <v>0.4590654878631984</v>
      </c>
      <c r="G10">
        <f t="shared" si="3"/>
        <v>6</v>
      </c>
      <c r="H10">
        <f t="shared" si="4"/>
        <v>0.44584051764466737</v>
      </c>
      <c r="I10">
        <f t="shared" si="5"/>
        <v>6</v>
      </c>
      <c r="J10">
        <f t="shared" si="6"/>
        <v>0.43261554742613639</v>
      </c>
      <c r="K10">
        <f t="shared" si="7"/>
        <v>6</v>
      </c>
      <c r="L10">
        <f t="shared" si="8"/>
        <v>0.41939057720760542</v>
      </c>
      <c r="M10">
        <f t="shared" si="9"/>
        <v>6</v>
      </c>
      <c r="N10">
        <f t="shared" si="10"/>
        <v>0.40616560698907439</v>
      </c>
      <c r="O10">
        <f t="shared" si="11"/>
        <v>6</v>
      </c>
    </row>
    <row r="11" spans="1:15" x14ac:dyDescent="0.2">
      <c r="A11" t="s">
        <v>54</v>
      </c>
      <c r="B11">
        <f>Processing_index!$Z$11</f>
        <v>0.72440083411108147</v>
      </c>
      <c r="C11">
        <f>Processing_index!$AA$11</f>
        <v>0.39037289108176643</v>
      </c>
      <c r="D11">
        <f t="shared" si="0"/>
        <v>0.72440083411108147</v>
      </c>
      <c r="E11">
        <f t="shared" si="1"/>
        <v>1</v>
      </c>
      <c r="F11">
        <f t="shared" si="2"/>
        <v>0.72440083411108147</v>
      </c>
      <c r="G11">
        <f t="shared" si="3"/>
        <v>1</v>
      </c>
      <c r="H11">
        <f t="shared" si="4"/>
        <v>0.72440083411108147</v>
      </c>
      <c r="I11">
        <f t="shared" si="5"/>
        <v>1</v>
      </c>
      <c r="J11">
        <f t="shared" si="6"/>
        <v>0.72440083411108147</v>
      </c>
      <c r="K11">
        <f t="shared" si="7"/>
        <v>1</v>
      </c>
      <c r="L11">
        <f t="shared" si="8"/>
        <v>0.72440083411108147</v>
      </c>
      <c r="M11">
        <f t="shared" si="9"/>
        <v>1</v>
      </c>
      <c r="N11">
        <f t="shared" si="10"/>
        <v>0.72440083411108147</v>
      </c>
      <c r="O11">
        <f t="shared" si="11"/>
        <v>1</v>
      </c>
    </row>
    <row r="12" spans="1:15" x14ac:dyDescent="0.2">
      <c r="A12" t="s">
        <v>56</v>
      </c>
      <c r="B12">
        <f>Processing_index!$Z$12</f>
        <v>0.56804330459613106</v>
      </c>
      <c r="C12">
        <f>Processing_index!$AA$12</f>
        <v>0.26817044733481826</v>
      </c>
      <c r="D12">
        <f t="shared" si="0"/>
        <v>0.56804330459613106</v>
      </c>
      <c r="E12">
        <f t="shared" si="1"/>
        <v>4</v>
      </c>
      <c r="F12">
        <f t="shared" si="2"/>
        <v>0.5559065421712398</v>
      </c>
      <c r="G12">
        <f t="shared" si="3"/>
        <v>4</v>
      </c>
      <c r="H12">
        <f t="shared" si="4"/>
        <v>0.54376977974634855</v>
      </c>
      <c r="I12">
        <f t="shared" si="5"/>
        <v>4</v>
      </c>
      <c r="J12">
        <f t="shared" si="6"/>
        <v>0.53163301732145729</v>
      </c>
      <c r="K12">
        <f t="shared" si="7"/>
        <v>5</v>
      </c>
      <c r="L12">
        <f t="shared" si="8"/>
        <v>0.51949625489656603</v>
      </c>
      <c r="M12">
        <f t="shared" si="9"/>
        <v>5</v>
      </c>
      <c r="N12">
        <f t="shared" si="10"/>
        <v>0.50735949247167489</v>
      </c>
      <c r="O12">
        <f t="shared" si="11"/>
        <v>5</v>
      </c>
    </row>
    <row r="13" spans="1:15" x14ac:dyDescent="0.2">
      <c r="A13" t="s">
        <v>45</v>
      </c>
      <c r="B13">
        <f>Processing_index!$Z$13</f>
        <v>0.61869776180777525</v>
      </c>
      <c r="C13">
        <f>Processing_index!$AA$13</f>
        <v>0.37003901547693341</v>
      </c>
      <c r="D13">
        <f t="shared" si="0"/>
        <v>0.61869776180777525</v>
      </c>
      <c r="E13">
        <f t="shared" si="1"/>
        <v>3</v>
      </c>
      <c r="F13">
        <f t="shared" si="2"/>
        <v>0.61808389180361845</v>
      </c>
      <c r="G13">
        <f t="shared" si="3"/>
        <v>3</v>
      </c>
      <c r="H13">
        <f t="shared" si="4"/>
        <v>0.61747002179946153</v>
      </c>
      <c r="I13">
        <f t="shared" si="5"/>
        <v>3</v>
      </c>
      <c r="J13">
        <f t="shared" si="6"/>
        <v>0.61685615179530462</v>
      </c>
      <c r="K13">
        <f t="shared" si="7"/>
        <v>3</v>
      </c>
      <c r="L13">
        <f t="shared" si="8"/>
        <v>0.61624228179114782</v>
      </c>
      <c r="M13">
        <f t="shared" si="9"/>
        <v>3</v>
      </c>
      <c r="N13">
        <f t="shared" si="10"/>
        <v>0.6156284117869909</v>
      </c>
      <c r="O13">
        <f t="shared" si="11"/>
        <v>3</v>
      </c>
    </row>
    <row r="14" spans="1:15" x14ac:dyDescent="0.2">
      <c r="A14" t="s">
        <v>40</v>
      </c>
      <c r="B14">
        <f>Processing_index!$Z$14</f>
        <v>0.27389540126795742</v>
      </c>
      <c r="C14">
        <f>Processing_index!$AA$14</f>
        <v>0.10718623435529315</v>
      </c>
      <c r="D14">
        <f t="shared" si="0"/>
        <v>0.27389540126795742</v>
      </c>
      <c r="E14">
        <f t="shared" si="1"/>
        <v>10</v>
      </c>
      <c r="F14">
        <f t="shared" si="2"/>
        <v>0.25922480950668947</v>
      </c>
      <c r="G14">
        <f t="shared" si="3"/>
        <v>10</v>
      </c>
      <c r="H14">
        <f t="shared" si="4"/>
        <v>0.24455421774542155</v>
      </c>
      <c r="I14">
        <f t="shared" si="5"/>
        <v>10</v>
      </c>
      <c r="J14">
        <f t="shared" si="6"/>
        <v>0.2298836259841536</v>
      </c>
      <c r="K14">
        <f t="shared" si="7"/>
        <v>10</v>
      </c>
      <c r="L14">
        <f t="shared" si="8"/>
        <v>0.21521303422288565</v>
      </c>
      <c r="M14">
        <f t="shared" si="9"/>
        <v>10</v>
      </c>
      <c r="N14">
        <f t="shared" si="10"/>
        <v>0.20054244246161773</v>
      </c>
      <c r="O14">
        <f t="shared" si="11"/>
        <v>10</v>
      </c>
    </row>
    <row r="15" spans="1:15" x14ac:dyDescent="0.2">
      <c r="A15" t="s">
        <v>130</v>
      </c>
      <c r="B15">
        <f>Processing_index!$Z$15</f>
        <v>0.28916213996704992</v>
      </c>
      <c r="C15">
        <f>Processing_index!$AA$15</f>
        <v>0.17392266674442028</v>
      </c>
      <c r="D15">
        <f t="shared" si="0"/>
        <v>0.28916213996704992</v>
      </c>
      <c r="E15">
        <f t="shared" si="1"/>
        <v>9</v>
      </c>
      <c r="F15">
        <f t="shared" si="2"/>
        <v>0.27753334957043968</v>
      </c>
      <c r="G15">
        <f t="shared" si="3"/>
        <v>9</v>
      </c>
      <c r="H15">
        <f t="shared" si="4"/>
        <v>0.26590455917382949</v>
      </c>
      <c r="I15">
        <f t="shared" si="5"/>
        <v>9</v>
      </c>
      <c r="J15">
        <f t="shared" si="6"/>
        <v>0.2542757687772193</v>
      </c>
      <c r="K15">
        <f t="shared" si="7"/>
        <v>9</v>
      </c>
      <c r="L15">
        <f t="shared" si="8"/>
        <v>0.24264697838060906</v>
      </c>
      <c r="M15">
        <f t="shared" si="9"/>
        <v>9</v>
      </c>
      <c r="N15">
        <f t="shared" si="10"/>
        <v>0.23101818798399884</v>
      </c>
      <c r="O15">
        <f t="shared" si="11"/>
        <v>9</v>
      </c>
    </row>
    <row r="16" spans="1:15" x14ac:dyDescent="0.2">
      <c r="A16" s="3" t="s">
        <v>242</v>
      </c>
      <c r="E16">
        <f>1-6*SUMPRODUCT((Processing_index!$AF$6:$AF$15-$E$6:$E$15)^2)/(10*(10^2-1))</f>
        <v>1</v>
      </c>
      <c r="G16">
        <f>1-6*SUMPRODUCT((Processing_index!$AF$6:$AF$15-$G$6:$G$15)^2)/(10*(10^2-1))</f>
        <v>1</v>
      </c>
      <c r="I16">
        <f>1-6*SUMPRODUCT((Processing_index!$AF$6:$AF$15-$I$6:$I$15)^2)/(10*(10^2-1))</f>
        <v>1</v>
      </c>
      <c r="K16">
        <f>1-6*SUMPRODUCT((Processing_index!$AF$6:$AF$15-$K$6:$K$15)^2)/(10*(10^2-1))</f>
        <v>0.98787878787878791</v>
      </c>
      <c r="M16">
        <f>1-6*SUMPRODUCT((Processing_index!$AF$6:$AF$15-$M$6:$M$15)^2)/(10*(10^2-1))</f>
        <v>0.98787878787878791</v>
      </c>
      <c r="O16">
        <f>1-6*SUMPRODUCT((Processing_index!$AF$6:$AF$15-$O$6:$O$15)^2)/(10*(10^2-1))</f>
        <v>0.98787878787878791</v>
      </c>
    </row>
    <row r="17" spans="1:15" x14ac:dyDescent="0.2">
      <c r="A17" s="3" t="s">
        <v>243</v>
      </c>
      <c r="E17">
        <f>SUMPRODUCT(--(Processing_index!$AF$6:$AF$15&lt;&gt;$E$6:$E$15))</f>
        <v>0</v>
      </c>
      <c r="G17">
        <f>SUMPRODUCT(--(Processing_index!$AF$6:$AF$15&lt;&gt;$G$6:$G$15))</f>
        <v>0</v>
      </c>
      <c r="I17">
        <f>SUMPRODUCT(--(Processing_index!$AF$6:$AF$15&lt;&gt;$I$6:$I$15))</f>
        <v>0</v>
      </c>
      <c r="K17">
        <f>SUMPRODUCT(--(Processing_index!$AF$6:$AF$15&lt;&gt;$K$6:$K$15))</f>
        <v>2</v>
      </c>
      <c r="M17">
        <f>SUMPRODUCT(--(Processing_index!$AF$6:$AF$15&lt;&gt;$M$6:$M$15))</f>
        <v>2</v>
      </c>
      <c r="O17">
        <f>SUMPRODUCT(--(Processing_index!$AF$6:$AF$15&lt;&gt;$O$6:$O$15))</f>
        <v>2</v>
      </c>
    </row>
    <row r="21" spans="1:15" x14ac:dyDescent="0.2">
      <c r="A21" s="3" t="s">
        <v>244</v>
      </c>
    </row>
    <row r="22" spans="1:15" x14ac:dyDescent="0.2">
      <c r="D22" s="4">
        <v>0.25</v>
      </c>
      <c r="F22" s="4">
        <v>0.3</v>
      </c>
      <c r="H22" s="4">
        <v>0.375</v>
      </c>
      <c r="J22" s="4">
        <v>0.45</v>
      </c>
      <c r="L22" s="4">
        <v>0.55000000000000004</v>
      </c>
    </row>
    <row r="23" spans="1:15" x14ac:dyDescent="0.2">
      <c r="A23" s="3" t="s">
        <v>125</v>
      </c>
      <c r="B23" s="3" t="s">
        <v>208</v>
      </c>
      <c r="C23" s="3" t="s">
        <v>209</v>
      </c>
      <c r="D23" s="3" t="s">
        <v>212</v>
      </c>
      <c r="E23" s="3" t="s">
        <v>225</v>
      </c>
      <c r="F23" s="3" t="s">
        <v>212</v>
      </c>
      <c r="G23" s="3" t="s">
        <v>225</v>
      </c>
      <c r="H23" s="3" t="s">
        <v>212</v>
      </c>
      <c r="I23" s="3" t="s">
        <v>225</v>
      </c>
      <c r="J23" s="3" t="s">
        <v>212</v>
      </c>
      <c r="K23" s="3" t="s">
        <v>225</v>
      </c>
      <c r="L23" s="3" t="s">
        <v>212</v>
      </c>
      <c r="M23" s="3" t="s">
        <v>225</v>
      </c>
    </row>
    <row r="24" spans="1:15" x14ac:dyDescent="0.2">
      <c r="A24" t="s">
        <v>59</v>
      </c>
      <c r="B24">
        <f>Processing_index!$Z$6</f>
        <v>0.54346746564982107</v>
      </c>
      <c r="C24">
        <f>Processing_index!$AA$6</f>
        <v>0.34867747763835871</v>
      </c>
      <c r="D24">
        <f t="shared" ref="D24:D33" si="12">$B24*(1-alpha*MAX(0,D$22-$C24))</f>
        <v>0.54346746564982107</v>
      </c>
      <c r="E24">
        <f t="shared" ref="E24:E33" si="13">1+COUNTIF($D$24:$D$33,"&gt;"&amp;D24)</f>
        <v>5</v>
      </c>
      <c r="F24">
        <f t="shared" ref="F24:F33" si="14">$B24*(1-alpha*MAX(0,F$22-$C24))</f>
        <v>0.54346746564982107</v>
      </c>
      <c r="G24">
        <f t="shared" ref="G24:G33" si="15">1+COUNTIF($F$24:$F$33,"&gt;"&amp;F24)</f>
        <v>5</v>
      </c>
      <c r="H24">
        <f t="shared" ref="H24:H33" si="16">$B24*(1-alpha*MAX(0,H$22-$C24))</f>
        <v>0.53774529184286435</v>
      </c>
      <c r="I24">
        <f t="shared" ref="I24:I33" si="17">1+COUNTIF($H$24:$H$33,"&gt;"&amp;H24)</f>
        <v>5</v>
      </c>
      <c r="J24">
        <f t="shared" ref="J24:J33" si="18">$B24*(1-alpha*MAX(0,J$22-$C24))</f>
        <v>0.52144126787336964</v>
      </c>
      <c r="K24">
        <f t="shared" ref="K24:K33" si="19">1+COUNTIF($J$24:$J$33,"&gt;"&amp;J24)</f>
        <v>5</v>
      </c>
      <c r="L24">
        <f t="shared" ref="L24:L33" si="20">$B24*(1-alpha*MAX(0,L$22-$C24))</f>
        <v>0.49970256924737683</v>
      </c>
      <c r="M24">
        <f t="shared" ref="M24:M33" si="21">1+COUNTIF($L$24:$L$33,"&gt;"&amp;L24)</f>
        <v>5</v>
      </c>
    </row>
    <row r="25" spans="1:15" x14ac:dyDescent="0.2">
      <c r="A25" t="s">
        <v>51</v>
      </c>
      <c r="B25">
        <f>Processing_index!$Z$7</f>
        <v>0.44130743002372058</v>
      </c>
      <c r="C25">
        <f>Processing_index!$AA$7</f>
        <v>0.29262275048702674</v>
      </c>
      <c r="D25">
        <f t="shared" si="12"/>
        <v>0.44130743002372058</v>
      </c>
      <c r="E25">
        <f t="shared" si="13"/>
        <v>7</v>
      </c>
      <c r="F25">
        <f t="shared" si="14"/>
        <v>0.44000517601443501</v>
      </c>
      <c r="G25">
        <f t="shared" si="15"/>
        <v>7</v>
      </c>
      <c r="H25">
        <f t="shared" si="16"/>
        <v>0.4267659531137234</v>
      </c>
      <c r="I25">
        <f t="shared" si="17"/>
        <v>7</v>
      </c>
      <c r="J25">
        <f t="shared" si="18"/>
        <v>0.41352673021301173</v>
      </c>
      <c r="K25">
        <f t="shared" si="19"/>
        <v>7</v>
      </c>
      <c r="L25">
        <f t="shared" si="20"/>
        <v>0.39587443301206293</v>
      </c>
      <c r="M25">
        <f t="shared" si="21"/>
        <v>7</v>
      </c>
    </row>
    <row r="26" spans="1:15" x14ac:dyDescent="0.2">
      <c r="A26" t="s">
        <v>61</v>
      </c>
      <c r="B26">
        <f>Processing_index!$Z$8</f>
        <v>0.38101874562558558</v>
      </c>
      <c r="C26">
        <f>Processing_index!$AA$8</f>
        <v>0.24148819253858789</v>
      </c>
      <c r="D26">
        <f t="shared" si="12"/>
        <v>0.37972148234480407</v>
      </c>
      <c r="E26">
        <f t="shared" si="13"/>
        <v>8</v>
      </c>
      <c r="F26">
        <f t="shared" si="14"/>
        <v>0.37210110743229236</v>
      </c>
      <c r="G26">
        <f t="shared" si="15"/>
        <v>8</v>
      </c>
      <c r="H26">
        <f t="shared" si="16"/>
        <v>0.36067054506352481</v>
      </c>
      <c r="I26">
        <f t="shared" si="17"/>
        <v>8</v>
      </c>
      <c r="J26">
        <f t="shared" si="18"/>
        <v>0.3492399826947572</v>
      </c>
      <c r="K26">
        <f t="shared" si="19"/>
        <v>8</v>
      </c>
      <c r="L26">
        <f t="shared" si="20"/>
        <v>0.33399923286973382</v>
      </c>
      <c r="M26">
        <f t="shared" si="21"/>
        <v>8</v>
      </c>
    </row>
    <row r="27" spans="1:15" x14ac:dyDescent="0.2">
      <c r="A27" t="s">
        <v>42</v>
      </c>
      <c r="B27">
        <f>Processing_index!$Z$9</f>
        <v>0.64280316374369395</v>
      </c>
      <c r="C27">
        <f>Processing_index!$AA$9</f>
        <v>0.44228904942330344</v>
      </c>
      <c r="D27">
        <f t="shared" si="12"/>
        <v>0.64280316374369395</v>
      </c>
      <c r="E27">
        <f t="shared" si="13"/>
        <v>2</v>
      </c>
      <c r="F27">
        <f t="shared" si="14"/>
        <v>0.64280316374369395</v>
      </c>
      <c r="G27">
        <f t="shared" si="15"/>
        <v>2</v>
      </c>
      <c r="H27">
        <f t="shared" si="16"/>
        <v>0.64280316374369395</v>
      </c>
      <c r="I27">
        <f t="shared" si="17"/>
        <v>2</v>
      </c>
      <c r="J27">
        <f t="shared" si="18"/>
        <v>0.64082051437322529</v>
      </c>
      <c r="K27">
        <f t="shared" si="19"/>
        <v>2</v>
      </c>
      <c r="L27">
        <f t="shared" si="20"/>
        <v>0.61510838782347743</v>
      </c>
      <c r="M27">
        <f t="shared" si="21"/>
        <v>2</v>
      </c>
    </row>
    <row r="28" spans="1:15" x14ac:dyDescent="0.2">
      <c r="A28" t="s">
        <v>64</v>
      </c>
      <c r="B28">
        <f>Processing_index!$Z$10</f>
        <v>0.47229045808172937</v>
      </c>
      <c r="C28">
        <f>Processing_index!$AA$10</f>
        <v>0.23499113477492253</v>
      </c>
      <c r="D28">
        <f t="shared" si="12"/>
        <v>0.46945504054875387</v>
      </c>
      <c r="E28">
        <f t="shared" si="13"/>
        <v>6</v>
      </c>
      <c r="F28">
        <f t="shared" si="14"/>
        <v>0.4600092313871193</v>
      </c>
      <c r="G28">
        <f t="shared" si="15"/>
        <v>6</v>
      </c>
      <c r="H28">
        <f t="shared" si="16"/>
        <v>0.44584051764466737</v>
      </c>
      <c r="I28">
        <f t="shared" si="17"/>
        <v>6</v>
      </c>
      <c r="J28">
        <f t="shared" si="18"/>
        <v>0.43167180390221549</v>
      </c>
      <c r="K28">
        <f t="shared" si="19"/>
        <v>6</v>
      </c>
      <c r="L28">
        <f t="shared" si="20"/>
        <v>0.4127801855789463</v>
      </c>
      <c r="M28">
        <f t="shared" si="21"/>
        <v>6</v>
      </c>
    </row>
    <row r="29" spans="1:15" x14ac:dyDescent="0.2">
      <c r="A29" t="s">
        <v>54</v>
      </c>
      <c r="B29">
        <f>Processing_index!$Z$11</f>
        <v>0.72440083411108147</v>
      </c>
      <c r="C29">
        <f>Processing_index!$AA$11</f>
        <v>0.39037289108176643</v>
      </c>
      <c r="D29">
        <f t="shared" si="12"/>
        <v>0.72440083411108147</v>
      </c>
      <c r="E29">
        <f t="shared" si="13"/>
        <v>1</v>
      </c>
      <c r="F29">
        <f t="shared" si="14"/>
        <v>0.72440083411108147</v>
      </c>
      <c r="G29">
        <f t="shared" si="15"/>
        <v>1</v>
      </c>
      <c r="H29">
        <f t="shared" si="16"/>
        <v>0.72440083411108147</v>
      </c>
      <c r="I29">
        <f t="shared" si="17"/>
        <v>1</v>
      </c>
      <c r="J29">
        <f t="shared" si="18"/>
        <v>0.70712326313668117</v>
      </c>
      <c r="K29">
        <f t="shared" si="19"/>
        <v>1</v>
      </c>
      <c r="L29">
        <f t="shared" si="20"/>
        <v>0.67814722977223796</v>
      </c>
      <c r="M29">
        <f t="shared" si="21"/>
        <v>1</v>
      </c>
    </row>
    <row r="30" spans="1:15" x14ac:dyDescent="0.2">
      <c r="A30" t="s">
        <v>56</v>
      </c>
      <c r="B30">
        <f>Processing_index!$Z$12</f>
        <v>0.56804330459613106</v>
      </c>
      <c r="C30">
        <f>Processing_index!$AA$12</f>
        <v>0.26817044733481826</v>
      </c>
      <c r="D30">
        <f t="shared" si="12"/>
        <v>0.56804330459613106</v>
      </c>
      <c r="E30">
        <f t="shared" si="13"/>
        <v>4</v>
      </c>
      <c r="F30">
        <f t="shared" si="14"/>
        <v>0.56081107888423243</v>
      </c>
      <c r="G30">
        <f t="shared" si="15"/>
        <v>4</v>
      </c>
      <c r="H30">
        <f t="shared" si="16"/>
        <v>0.54376977974634855</v>
      </c>
      <c r="I30">
        <f t="shared" si="17"/>
        <v>4</v>
      </c>
      <c r="J30">
        <f t="shared" si="18"/>
        <v>0.52672848060846467</v>
      </c>
      <c r="K30">
        <f t="shared" si="19"/>
        <v>4</v>
      </c>
      <c r="L30">
        <f t="shared" si="20"/>
        <v>0.50400674842461934</v>
      </c>
      <c r="M30">
        <f t="shared" si="21"/>
        <v>4</v>
      </c>
    </row>
    <row r="31" spans="1:15" x14ac:dyDescent="0.2">
      <c r="A31" t="s">
        <v>45</v>
      </c>
      <c r="B31">
        <f>Processing_index!$Z$13</f>
        <v>0.61869776180777525</v>
      </c>
      <c r="C31">
        <f>Processing_index!$AA$13</f>
        <v>0.37003901547693341</v>
      </c>
      <c r="D31">
        <f t="shared" si="12"/>
        <v>0.61869776180777525</v>
      </c>
      <c r="E31">
        <f t="shared" si="13"/>
        <v>3</v>
      </c>
      <c r="F31">
        <f t="shared" si="14"/>
        <v>0.61869776180777525</v>
      </c>
      <c r="G31">
        <f t="shared" si="15"/>
        <v>3</v>
      </c>
      <c r="H31">
        <f t="shared" si="16"/>
        <v>0.61747002179946153</v>
      </c>
      <c r="I31">
        <f t="shared" si="17"/>
        <v>3</v>
      </c>
      <c r="J31">
        <f t="shared" si="18"/>
        <v>0.59890908894522821</v>
      </c>
      <c r="K31">
        <f t="shared" si="19"/>
        <v>3</v>
      </c>
      <c r="L31">
        <f t="shared" si="20"/>
        <v>0.57416117847291726</v>
      </c>
      <c r="M31">
        <f t="shared" si="21"/>
        <v>3</v>
      </c>
    </row>
    <row r="32" spans="1:15" x14ac:dyDescent="0.2">
      <c r="A32" t="s">
        <v>40</v>
      </c>
      <c r="B32">
        <f>Processing_index!$Z$14</f>
        <v>0.27389540126795742</v>
      </c>
      <c r="C32">
        <f>Processing_index!$AA$14</f>
        <v>0.10718623435529315</v>
      </c>
      <c r="D32">
        <f t="shared" si="12"/>
        <v>0.25824898780881944</v>
      </c>
      <c r="E32">
        <f t="shared" si="13"/>
        <v>10</v>
      </c>
      <c r="F32">
        <f t="shared" si="14"/>
        <v>0.25277107978346025</v>
      </c>
      <c r="G32">
        <f t="shared" si="15"/>
        <v>10</v>
      </c>
      <c r="H32">
        <f t="shared" si="16"/>
        <v>0.24455421774542155</v>
      </c>
      <c r="I32">
        <f t="shared" si="17"/>
        <v>10</v>
      </c>
      <c r="J32">
        <f t="shared" si="18"/>
        <v>0.23633735570738282</v>
      </c>
      <c r="K32">
        <f t="shared" si="19"/>
        <v>10</v>
      </c>
      <c r="L32">
        <f t="shared" si="20"/>
        <v>0.22538153965666452</v>
      </c>
      <c r="M32">
        <f t="shared" si="21"/>
        <v>10</v>
      </c>
    </row>
    <row r="33" spans="1:13" x14ac:dyDescent="0.2">
      <c r="A33" t="s">
        <v>130</v>
      </c>
      <c r="B33">
        <f>Processing_index!$Z$15</f>
        <v>0.28916213996704992</v>
      </c>
      <c r="C33">
        <f>Processing_index!$AA$15</f>
        <v>0.17392266674442028</v>
      </c>
      <c r="D33">
        <f t="shared" si="12"/>
        <v>0.28036266617218197</v>
      </c>
      <c r="E33">
        <f t="shared" si="13"/>
        <v>9</v>
      </c>
      <c r="F33">
        <f t="shared" si="14"/>
        <v>0.27457942337284097</v>
      </c>
      <c r="G33">
        <f t="shared" si="15"/>
        <v>9</v>
      </c>
      <c r="H33">
        <f t="shared" si="16"/>
        <v>0.26590455917382949</v>
      </c>
      <c r="I33">
        <f t="shared" si="17"/>
        <v>9</v>
      </c>
      <c r="J33">
        <f t="shared" si="18"/>
        <v>0.25722969497481801</v>
      </c>
      <c r="K33">
        <f t="shared" si="19"/>
        <v>9</v>
      </c>
      <c r="L33">
        <f t="shared" si="20"/>
        <v>0.245663209376136</v>
      </c>
      <c r="M33">
        <f t="shared" si="21"/>
        <v>9</v>
      </c>
    </row>
    <row r="34" spans="1:13" x14ac:dyDescent="0.2">
      <c r="A34" s="3" t="s">
        <v>242</v>
      </c>
      <c r="E34">
        <f>1-6*SUMPRODUCT((Processing_index!$AF$6:$AF$15-$E$24:$E$33)^2)/(10*(10^2-1))</f>
        <v>1</v>
      </c>
      <c r="G34">
        <f>1-6*SUMPRODUCT((Processing_index!$AF$6:$AF$15-$G$24:$G$33)^2)/(10*(10^2-1))</f>
        <v>1</v>
      </c>
      <c r="I34">
        <f>1-6*SUMPRODUCT((Processing_index!$AF$6:$AF$15-$I$24:$I$33)^2)/(10*(10^2-1))</f>
        <v>1</v>
      </c>
      <c r="K34">
        <f>1-6*SUMPRODUCT((Processing_index!$AF$6:$AF$15-$K$24:$K$33)^2)/(10*(10^2-1))</f>
        <v>1</v>
      </c>
      <c r="M34">
        <f>1-6*SUMPRODUCT((Processing_index!$AF$6:$AF$15-$M$24:$M$33)^2)/(10*(10^2-1))</f>
        <v>1</v>
      </c>
    </row>
    <row r="35" spans="1:13" x14ac:dyDescent="0.2">
      <c r="A35" s="3" t="s">
        <v>243</v>
      </c>
      <c r="E35">
        <f>SUMPRODUCT(--(Processing_index!$AF$6:$AF$15&lt;&gt;$E$24:$E$33))</f>
        <v>0</v>
      </c>
      <c r="G35">
        <f>SUMPRODUCT(--(Processing_index!$AF$6:$AF$15&lt;&gt;$G$24:$G$33))</f>
        <v>0</v>
      </c>
      <c r="I35">
        <f>SUMPRODUCT(--(Processing_index!$AF$6:$AF$15&lt;&gt;$I$24:$I$33))</f>
        <v>0</v>
      </c>
      <c r="K35">
        <f>SUMPRODUCT(--(Processing_index!$AF$6:$AF$15&lt;&gt;$K$24:$K$33))</f>
        <v>0</v>
      </c>
      <c r="M35">
        <f>SUMPRODUCT(--(Processing_index!$AF$6:$AF$15&lt;&gt;$M$24:$M$33))</f>
        <v>0</v>
      </c>
    </row>
    <row r="36" spans="1:13" x14ac:dyDescent="0.2">
      <c r="A36" s="3" t="s">
        <v>245</v>
      </c>
      <c r="E36">
        <f>COUNTIF($C$24:$C$33,"&lt;"&amp;D$22)</f>
        <v>4</v>
      </c>
      <c r="G36">
        <f>COUNTIF($C$24:$C$33,"&lt;"&amp;F$22)</f>
        <v>6</v>
      </c>
      <c r="I36">
        <f>COUNTIF($C$24:$C$33,"&lt;"&amp;H$22)</f>
        <v>8</v>
      </c>
      <c r="K36">
        <f>COUNTIF($C$24:$C$33,"&lt;"&amp;J$22)</f>
        <v>10</v>
      </c>
      <c r="M36">
        <f>COUNTIF($C$24:$C$33,"&lt;"&amp;L$22)</f>
        <v>10</v>
      </c>
    </row>
    <row r="39" spans="1:13" x14ac:dyDescent="0.2">
      <c r="A39" s="3" t="s">
        <v>246</v>
      </c>
    </row>
    <row r="40" spans="1:13" x14ac:dyDescent="0.2">
      <c r="A40" s="3" t="s">
        <v>125</v>
      </c>
      <c r="B40" s="3" t="s">
        <v>247</v>
      </c>
      <c r="C40" s="3" t="s">
        <v>225</v>
      </c>
    </row>
    <row r="41" spans="1:13" x14ac:dyDescent="0.2">
      <c r="A41" t="s">
        <v>59</v>
      </c>
      <c r="B41">
        <f>(Processing_index!$S$6*Processing_index!$T$6*Processing_index!$U$6*Processing_index!$V$6*Processing_index!$W$6)^(1/5)</f>
        <v>0.52352370946756166</v>
      </c>
      <c r="C41">
        <f t="shared" ref="C41:C50" si="22">1+COUNTIF($B$41:$B$50,"&gt;"&amp;B41)</f>
        <v>5</v>
      </c>
    </row>
    <row r="42" spans="1:13" x14ac:dyDescent="0.2">
      <c r="A42" t="s">
        <v>51</v>
      </c>
      <c r="B42">
        <f>(Processing_index!$S$7*Processing_index!$T$7*Processing_index!$U$7*Processing_index!$V$7*Processing_index!$W$7)^(1/5)</f>
        <v>0.42207934528207591</v>
      </c>
      <c r="C42">
        <f t="shared" si="22"/>
        <v>7</v>
      </c>
    </row>
    <row r="43" spans="1:13" x14ac:dyDescent="0.2">
      <c r="A43" t="s">
        <v>61</v>
      </c>
      <c r="B43">
        <f>(Processing_index!$S$8*Processing_index!$T$8*Processing_index!$U$8*Processing_index!$V$8*Processing_index!$W$8)^(1/5)</f>
        <v>0.36465802443973</v>
      </c>
      <c r="C43">
        <f t="shared" si="22"/>
        <v>8</v>
      </c>
    </row>
    <row r="44" spans="1:13" x14ac:dyDescent="0.2">
      <c r="A44" t="s">
        <v>42</v>
      </c>
      <c r="B44">
        <f>(Processing_index!$S$9*Processing_index!$T$9*Processing_index!$U$9*Processing_index!$V$9*Processing_index!$W$9)^(1/5)</f>
        <v>0.62900768229375181</v>
      </c>
      <c r="C44">
        <f t="shared" si="22"/>
        <v>2</v>
      </c>
    </row>
    <row r="45" spans="1:13" x14ac:dyDescent="0.2">
      <c r="A45" t="s">
        <v>64</v>
      </c>
      <c r="B45">
        <f>(Processing_index!$S$10*Processing_index!$T$10*Processing_index!$U$10*Processing_index!$V$10*Processing_index!$W$10)^(1/5)</f>
        <v>0.4428289886457043</v>
      </c>
      <c r="C45">
        <f t="shared" si="22"/>
        <v>6</v>
      </c>
    </row>
    <row r="46" spans="1:13" x14ac:dyDescent="0.2">
      <c r="A46" t="s">
        <v>54</v>
      </c>
      <c r="B46">
        <f>(Processing_index!$S$11*Processing_index!$T$11*Processing_index!$U$11*Processing_index!$V$11*Processing_index!$W$11)^(1/5)</f>
        <v>0.69536354819947011</v>
      </c>
      <c r="C46">
        <f t="shared" si="22"/>
        <v>1</v>
      </c>
    </row>
    <row r="47" spans="1:13" x14ac:dyDescent="0.2">
      <c r="A47" t="s">
        <v>56</v>
      </c>
      <c r="B47">
        <f>(Processing_index!$S$12*Processing_index!$T$12*Processing_index!$U$12*Processing_index!$V$12*Processing_index!$W$12)^(1/5)</f>
        <v>0.5375650730768976</v>
      </c>
      <c r="C47">
        <f t="shared" si="22"/>
        <v>4</v>
      </c>
    </row>
    <row r="48" spans="1:13" x14ac:dyDescent="0.2">
      <c r="A48" t="s">
        <v>45</v>
      </c>
      <c r="B48">
        <f>(Processing_index!$S$13*Processing_index!$T$13*Processing_index!$U$13*Processing_index!$V$13*Processing_index!$W$13)^(1/5)</f>
        <v>0.59460769797940272</v>
      </c>
      <c r="C48">
        <f t="shared" si="22"/>
        <v>3</v>
      </c>
    </row>
    <row r="49" spans="1:6" x14ac:dyDescent="0.2">
      <c r="A49" t="s">
        <v>40</v>
      </c>
      <c r="B49">
        <f>(Processing_index!$S$14*Processing_index!$T$14*Processing_index!$U$14*Processing_index!$V$14*Processing_index!$W$14)^(1/5)</f>
        <v>0.24697538586719239</v>
      </c>
      <c r="C49">
        <f t="shared" si="22"/>
        <v>10</v>
      </c>
    </row>
    <row r="50" spans="1:6" x14ac:dyDescent="0.2">
      <c r="A50" t="s">
        <v>130</v>
      </c>
      <c r="B50">
        <f>(Processing_index!$S$15*Processing_index!$T$15*Processing_index!$U$15*Processing_index!$V$15*Processing_index!$W$15)^(1/5)</f>
        <v>0.27837665585239929</v>
      </c>
      <c r="C50">
        <f t="shared" si="22"/>
        <v>9</v>
      </c>
    </row>
    <row r="51" spans="1:6" x14ac:dyDescent="0.2">
      <c r="A51" s="3" t="s">
        <v>242</v>
      </c>
      <c r="B51">
        <f>1-6*SUMPRODUCT((Processing_index!$AF$6:$AF$15-$C$41:$C$50)^2)/(10*(10^2-1))</f>
        <v>1</v>
      </c>
    </row>
    <row r="52" spans="1:6" x14ac:dyDescent="0.2">
      <c r="A52" s="3" t="s">
        <v>243</v>
      </c>
      <c r="B52">
        <f>SUMPRODUCT(--(Processing_index!$AF$6:$AF$15&lt;&gt;$C$41:$C$50))</f>
        <v>0</v>
      </c>
    </row>
    <row r="55" spans="1:6" x14ac:dyDescent="0.2">
      <c r="A55" s="3" t="s">
        <v>248</v>
      </c>
    </row>
    <row r="56" spans="1:6" x14ac:dyDescent="0.2">
      <c r="A56" s="3" t="s">
        <v>249</v>
      </c>
      <c r="B56" s="3" t="s">
        <v>242</v>
      </c>
      <c r="C56" s="3" t="s">
        <v>243</v>
      </c>
      <c r="D56" s="3" t="s">
        <v>250</v>
      </c>
      <c r="E56" s="3" t="s">
        <v>251</v>
      </c>
      <c r="F56" s="3" t="s">
        <v>252</v>
      </c>
    </row>
    <row r="57" spans="1:6" x14ac:dyDescent="0.2">
      <c r="A57" t="s">
        <v>141</v>
      </c>
      <c r="B57">
        <f>$B$84</f>
        <v>1</v>
      </c>
      <c r="C57">
        <f>$B$85</f>
        <v>0</v>
      </c>
      <c r="D57">
        <f>$K$83</f>
        <v>9</v>
      </c>
      <c r="E57">
        <f>$J$83</f>
        <v>0.24630547999744754</v>
      </c>
      <c r="F57">
        <v>72</v>
      </c>
    </row>
    <row r="58" spans="1:6" x14ac:dyDescent="0.2">
      <c r="A58" t="s">
        <v>147</v>
      </c>
      <c r="B58">
        <f>$B$99</f>
        <v>0.98787878787878791</v>
      </c>
      <c r="C58">
        <f>$B$100</f>
        <v>2</v>
      </c>
      <c r="D58">
        <f>$K$98</f>
        <v>9</v>
      </c>
      <c r="E58">
        <f>$J$98</f>
        <v>0.27651056134334723</v>
      </c>
      <c r="F58">
        <v>87</v>
      </c>
    </row>
    <row r="59" spans="1:6" x14ac:dyDescent="0.2">
      <c r="A59" t="s">
        <v>151</v>
      </c>
      <c r="B59">
        <f>$B$114</f>
        <v>1</v>
      </c>
      <c r="C59">
        <f>$B$115</f>
        <v>0</v>
      </c>
      <c r="D59">
        <f>$K$113</f>
        <v>9</v>
      </c>
      <c r="E59">
        <f>$J$113</f>
        <v>0.27543051507095428</v>
      </c>
      <c r="F59">
        <v>102</v>
      </c>
    </row>
    <row r="60" spans="1:6" x14ac:dyDescent="0.2">
      <c r="A60" t="s">
        <v>155</v>
      </c>
      <c r="B60">
        <f>$B$129</f>
        <v>0.98787878787878791</v>
      </c>
      <c r="C60">
        <f>$B$130</f>
        <v>2</v>
      </c>
      <c r="D60">
        <f>$K$128</f>
        <v>9</v>
      </c>
      <c r="E60">
        <f>$J$128</f>
        <v>0.25811105663411626</v>
      </c>
      <c r="F60">
        <v>117</v>
      </c>
    </row>
    <row r="61" spans="1:6" x14ac:dyDescent="0.2">
      <c r="A61" t="s">
        <v>160</v>
      </c>
      <c r="B61">
        <f>$B$144</f>
        <v>0.98787878787878791</v>
      </c>
      <c r="C61">
        <f>$B$145</f>
        <v>2</v>
      </c>
      <c r="D61">
        <f>$K$143</f>
        <v>9</v>
      </c>
      <c r="E61">
        <f>$J$143</f>
        <v>0.27369806171354261</v>
      </c>
      <c r="F61">
        <v>132</v>
      </c>
    </row>
    <row r="62" spans="1:6" x14ac:dyDescent="0.2">
      <c r="A62" t="s">
        <v>162</v>
      </c>
      <c r="B62">
        <f>$B$159</f>
        <v>0.98787878787878791</v>
      </c>
      <c r="C62">
        <f>$B$160</f>
        <v>2</v>
      </c>
      <c r="D62">
        <f>$K$158</f>
        <v>10</v>
      </c>
      <c r="E62">
        <f>$J$158</f>
        <v>0.24481007181787587</v>
      </c>
      <c r="F62">
        <v>147</v>
      </c>
    </row>
    <row r="63" spans="1:6" x14ac:dyDescent="0.2">
      <c r="A63" t="s">
        <v>167</v>
      </c>
      <c r="B63">
        <f>$B$174</f>
        <v>0.98787878787878791</v>
      </c>
      <c r="C63">
        <f>$B$175</f>
        <v>2</v>
      </c>
      <c r="D63">
        <f>$K$173</f>
        <v>9</v>
      </c>
      <c r="E63">
        <f>$J$173</f>
        <v>0.27040557284632116</v>
      </c>
      <c r="F63">
        <v>162</v>
      </c>
    </row>
    <row r="64" spans="1:6" x14ac:dyDescent="0.2">
      <c r="A64" t="s">
        <v>171</v>
      </c>
      <c r="B64">
        <f>$B$189</f>
        <v>0.97575757575757571</v>
      </c>
      <c r="C64">
        <f>$B$190</f>
        <v>4</v>
      </c>
      <c r="D64">
        <f>$K$188</f>
        <v>9</v>
      </c>
      <c r="E64">
        <f>$J$188</f>
        <v>0.28249803285729153</v>
      </c>
      <c r="F64">
        <v>177</v>
      </c>
    </row>
    <row r="65" spans="1:11" x14ac:dyDescent="0.2">
      <c r="A65" t="s">
        <v>173</v>
      </c>
      <c r="B65">
        <f>$B$204</f>
        <v>0.97575757575757571</v>
      </c>
      <c r="C65">
        <f>$B$205</f>
        <v>4</v>
      </c>
      <c r="D65">
        <f>$K$203</f>
        <v>9</v>
      </c>
      <c r="E65">
        <f>$J$203</f>
        <v>0.24366812999814655</v>
      </c>
      <c r="F65">
        <v>192</v>
      </c>
    </row>
    <row r="66" spans="1:11" x14ac:dyDescent="0.2">
      <c r="A66" t="s">
        <v>178</v>
      </c>
      <c r="B66">
        <f>$B$219</f>
        <v>0.98787878787878791</v>
      </c>
      <c r="C66">
        <f>$B$220</f>
        <v>2</v>
      </c>
      <c r="D66">
        <f>$K$218</f>
        <v>10</v>
      </c>
      <c r="E66">
        <f>$J$218</f>
        <v>0.28814098834951246</v>
      </c>
      <c r="F66">
        <v>207</v>
      </c>
    </row>
    <row r="67" spans="1:11" x14ac:dyDescent="0.2">
      <c r="A67" t="s">
        <v>182</v>
      </c>
      <c r="B67">
        <f>$B$234</f>
        <v>0.98787878787878791</v>
      </c>
      <c r="C67">
        <f>$B$235</f>
        <v>2</v>
      </c>
      <c r="D67">
        <f>$K$233</f>
        <v>9</v>
      </c>
      <c r="E67">
        <f>$J$233</f>
        <v>0.26963704271735595</v>
      </c>
      <c r="F67">
        <v>222</v>
      </c>
    </row>
    <row r="68" spans="1:11" x14ac:dyDescent="0.2">
      <c r="A68" t="s">
        <v>187</v>
      </c>
      <c r="B68">
        <f>$B$249</f>
        <v>1</v>
      </c>
      <c r="C68">
        <f>$B$250</f>
        <v>0</v>
      </c>
      <c r="D68">
        <f>$K$248</f>
        <v>9</v>
      </c>
      <c r="E68">
        <f>$J$248</f>
        <v>0.25390644183746575</v>
      </c>
      <c r="F68">
        <v>237</v>
      </c>
    </row>
    <row r="69" spans="1:11" x14ac:dyDescent="0.2">
      <c r="A69" t="s">
        <v>191</v>
      </c>
      <c r="B69">
        <f>$B$264</f>
        <v>0.98787878787878791</v>
      </c>
      <c r="C69">
        <f>$B$265</f>
        <v>2</v>
      </c>
      <c r="D69">
        <f>$K$263</f>
        <v>9</v>
      </c>
      <c r="E69">
        <f>$J$263</f>
        <v>0.27417019296666678</v>
      </c>
      <c r="F69">
        <v>252</v>
      </c>
    </row>
    <row r="72" spans="1:11" x14ac:dyDescent="0.2">
      <c r="A72" s="3" t="s">
        <v>253</v>
      </c>
    </row>
    <row r="73" spans="1:11" x14ac:dyDescent="0.2">
      <c r="A73" s="3" t="s">
        <v>125</v>
      </c>
      <c r="B73" s="3" t="s">
        <v>142</v>
      </c>
      <c r="C73" s="3" t="s">
        <v>156</v>
      </c>
      <c r="D73" s="3" t="s">
        <v>163</v>
      </c>
      <c r="E73" s="3" t="s">
        <v>174</v>
      </c>
      <c r="F73" s="3" t="s">
        <v>183</v>
      </c>
      <c r="G73" s="3" t="s">
        <v>208</v>
      </c>
      <c r="H73" s="3" t="s">
        <v>209</v>
      </c>
      <c r="I73" s="3" t="s">
        <v>211</v>
      </c>
      <c r="J73" s="3" t="s">
        <v>212</v>
      </c>
      <c r="K73" s="3" t="s">
        <v>225</v>
      </c>
    </row>
    <row r="74" spans="1:11" x14ac:dyDescent="0.2">
      <c r="A74" t="s">
        <v>59</v>
      </c>
      <c r="B74">
        <f>AVERAGE(Processing_index!$C$6,Processing_index!$D$6)</f>
        <v>0.38465638028108484</v>
      </c>
      <c r="C74">
        <f>Processing_index!$T$6</f>
        <v>0.62846775225416951</v>
      </c>
      <c r="D74">
        <f>Processing_index!$U$6</f>
        <v>0.34867747763835871</v>
      </c>
      <c r="E74">
        <f>Processing_index!$V$6</f>
        <v>0.77338574140818706</v>
      </c>
      <c r="F74">
        <f>Processing_index!$W$6</f>
        <v>0.52377838567197033</v>
      </c>
      <c r="G74">
        <f t="shared" ref="G74:G83" si="23">AVERAGE(B74:F74)</f>
        <v>0.53179314745075412</v>
      </c>
      <c r="H74">
        <f t="shared" ref="H74:H83" si="24">MIN(B74:F74)</f>
        <v>0.34867747763835871</v>
      </c>
      <c r="I74">
        <f t="shared" ref="I74:I83" si="25">1-alpha*MAX(0,delta-H74)</f>
        <v>0.98947099105534353</v>
      </c>
      <c r="J74">
        <f t="shared" ref="J74:J83" si="26">G74*I74</f>
        <v>0.52619389264453809</v>
      </c>
      <c r="K74">
        <f t="shared" ref="K74:K83" si="27">1+COUNTIF($J$74:$J$83,"&gt;"&amp;J74)</f>
        <v>5</v>
      </c>
    </row>
    <row r="75" spans="1:11" x14ac:dyDescent="0.2">
      <c r="A75" t="s">
        <v>51</v>
      </c>
      <c r="B75">
        <f>AVERAGE(Processing_index!$C$7,Processing_index!$D$7)</f>
        <v>0.22762729043996505</v>
      </c>
      <c r="C75">
        <f>Processing_index!$T$7</f>
        <v>0.29587345968346318</v>
      </c>
      <c r="D75">
        <f>Processing_index!$U$7</f>
        <v>0.5332085800536488</v>
      </c>
      <c r="E75">
        <f>Processing_index!$V$7</f>
        <v>0.60598341167382808</v>
      </c>
      <c r="F75">
        <f>Processing_index!$W$7</f>
        <v>0.47884894822063589</v>
      </c>
      <c r="G75">
        <f t="shared" si="23"/>
        <v>0.42830833801430818</v>
      </c>
      <c r="H75">
        <f t="shared" si="24"/>
        <v>0.22762729043996505</v>
      </c>
      <c r="I75">
        <f t="shared" si="25"/>
        <v>0.94105091617598602</v>
      </c>
      <c r="J75">
        <f t="shared" si="26"/>
        <v>0.40305995389417859</v>
      </c>
      <c r="K75">
        <f t="shared" si="27"/>
        <v>7</v>
      </c>
    </row>
    <row r="76" spans="1:11" x14ac:dyDescent="0.2">
      <c r="A76" t="s">
        <v>61</v>
      </c>
      <c r="B76">
        <f>AVERAGE(Processing_index!$C$8,Processing_index!$D$8)</f>
        <v>0.50252575178006054</v>
      </c>
      <c r="C76">
        <f>Processing_index!$T$8</f>
        <v>0.24148819253858789</v>
      </c>
      <c r="D76">
        <f>Processing_index!$U$8</f>
        <v>0.28762351537264413</v>
      </c>
      <c r="E76">
        <f>Processing_index!$V$8</f>
        <v>0.55737050241713504</v>
      </c>
      <c r="F76">
        <f>Processing_index!$W$8</f>
        <v>0.37810403578378637</v>
      </c>
      <c r="G76">
        <f t="shared" si="23"/>
        <v>0.39342239957844283</v>
      </c>
      <c r="H76">
        <f t="shared" si="24"/>
        <v>0.24148819253858789</v>
      </c>
      <c r="I76">
        <f t="shared" si="25"/>
        <v>0.94659527701543511</v>
      </c>
      <c r="J76">
        <f t="shared" si="26"/>
        <v>0.37241178531303332</v>
      </c>
      <c r="K76">
        <f t="shared" si="27"/>
        <v>8</v>
      </c>
    </row>
    <row r="77" spans="1:11" x14ac:dyDescent="0.2">
      <c r="A77" t="s">
        <v>42</v>
      </c>
      <c r="B77">
        <f>AVERAGE(Processing_index!$C$9,Processing_index!$D$9)</f>
        <v>0.4820437744444922</v>
      </c>
      <c r="C77">
        <f>Processing_index!$T$9</f>
        <v>0.44228904942330344</v>
      </c>
      <c r="D77">
        <f>Processing_index!$U$9</f>
        <v>0.67117889658153684</v>
      </c>
      <c r="E77">
        <f>Processing_index!$V$9</f>
        <v>0.72541215670263681</v>
      </c>
      <c r="F77">
        <f>Processing_index!$W$9</f>
        <v>0.81207893092012473</v>
      </c>
      <c r="G77">
        <f t="shared" si="23"/>
        <v>0.62660056161441879</v>
      </c>
      <c r="H77">
        <f t="shared" si="24"/>
        <v>0.44228904942330344</v>
      </c>
      <c r="I77">
        <f t="shared" si="25"/>
        <v>1</v>
      </c>
      <c r="J77">
        <f t="shared" si="26"/>
        <v>0.62660056161441879</v>
      </c>
      <c r="K77">
        <f t="shared" si="27"/>
        <v>2</v>
      </c>
    </row>
    <row r="78" spans="1:11" x14ac:dyDescent="0.2">
      <c r="A78" t="s">
        <v>64</v>
      </c>
      <c r="B78">
        <f>AVERAGE(Processing_index!$C$10,Processing_index!$D$10)</f>
        <v>0.36738030257446169</v>
      </c>
      <c r="C78">
        <f>Processing_index!$T$10</f>
        <v>0.23499113477492253</v>
      </c>
      <c r="D78">
        <f>Processing_index!$U$10</f>
        <v>0.60004571329783574</v>
      </c>
      <c r="E78">
        <f>Processing_index!$V$10</f>
        <v>0.55285895708554278</v>
      </c>
      <c r="F78">
        <f>Processing_index!$W$10</f>
        <v>0.62284485524938493</v>
      </c>
      <c r="G78">
        <f t="shared" si="23"/>
        <v>0.47562419259642957</v>
      </c>
      <c r="H78">
        <f t="shared" si="24"/>
        <v>0.23499113477492253</v>
      </c>
      <c r="I78">
        <f t="shared" si="25"/>
        <v>0.943996453909969</v>
      </c>
      <c r="J78">
        <f t="shared" si="26"/>
        <v>0.44898755120482164</v>
      </c>
      <c r="K78">
        <f t="shared" si="27"/>
        <v>6</v>
      </c>
    </row>
    <row r="79" spans="1:11" x14ac:dyDescent="0.2">
      <c r="A79" t="s">
        <v>54</v>
      </c>
      <c r="B79">
        <f>AVERAGE(Processing_index!$C$11,Processing_index!$D$11)</f>
        <v>0.59622713141645534</v>
      </c>
      <c r="C79">
        <f>Processing_index!$T$11</f>
        <v>0.39037289108176643</v>
      </c>
      <c r="D79">
        <f>Processing_index!$U$11</f>
        <v>0.75697314098589785</v>
      </c>
      <c r="E79">
        <f>Processing_index!$V$11</f>
        <v>0.8994049098912259</v>
      </c>
      <c r="F79">
        <f>Processing_index!$W$11</f>
        <v>0.88061902134286851</v>
      </c>
      <c r="G79">
        <f t="shared" si="23"/>
        <v>0.70471941894364287</v>
      </c>
      <c r="H79">
        <f t="shared" si="24"/>
        <v>0.39037289108176643</v>
      </c>
      <c r="I79">
        <f t="shared" si="25"/>
        <v>1</v>
      </c>
      <c r="J79">
        <f t="shared" si="26"/>
        <v>0.70471941894364287</v>
      </c>
      <c r="K79">
        <f t="shared" si="27"/>
        <v>1</v>
      </c>
    </row>
    <row r="80" spans="1:11" x14ac:dyDescent="0.2">
      <c r="A80" t="s">
        <v>56</v>
      </c>
      <c r="B80">
        <f>AVERAGE(Processing_index!$C$12,Processing_index!$D$12)</f>
        <v>0.72522008997005782</v>
      </c>
      <c r="C80">
        <f>Processing_index!$T$12</f>
        <v>0.26817044733481826</v>
      </c>
      <c r="D80">
        <f>Processing_index!$U$12</f>
        <v>0.5611371100196817</v>
      </c>
      <c r="E80">
        <f>Processing_index!$V$12</f>
        <v>0.70371201818939955</v>
      </c>
      <c r="F80">
        <f>Processing_index!$W$12</f>
        <v>0.59637572515620552</v>
      </c>
      <c r="G80">
        <f t="shared" si="23"/>
        <v>0.57092307813403254</v>
      </c>
      <c r="H80">
        <f t="shared" si="24"/>
        <v>0.26817044733481826</v>
      </c>
      <c r="I80">
        <f t="shared" si="25"/>
        <v>0.95726817893392735</v>
      </c>
      <c r="J80">
        <f t="shared" si="26"/>
        <v>0.5465264953167176</v>
      </c>
      <c r="K80">
        <f t="shared" si="27"/>
        <v>4</v>
      </c>
    </row>
    <row r="81" spans="1:11" x14ac:dyDescent="0.2">
      <c r="A81" t="s">
        <v>45</v>
      </c>
      <c r="B81">
        <f>AVERAGE(Processing_index!$C$13,Processing_index!$D$13)</f>
        <v>0.58733076890015901</v>
      </c>
      <c r="C81">
        <f>Processing_index!$T$13</f>
        <v>0.37003901547693341</v>
      </c>
      <c r="D81">
        <f>Processing_index!$U$13</f>
        <v>0.62584075418150009</v>
      </c>
      <c r="E81">
        <f>Processing_index!$V$13</f>
        <v>0.90826853207809577</v>
      </c>
      <c r="F81">
        <f>Processing_index!$W$13</f>
        <v>0.61094534851133464</v>
      </c>
      <c r="G81">
        <f t="shared" si="23"/>
        <v>0.62048488382960465</v>
      </c>
      <c r="H81">
        <f t="shared" si="24"/>
        <v>0.37003901547693341</v>
      </c>
      <c r="I81">
        <f t="shared" si="25"/>
        <v>0.99801560619077334</v>
      </c>
      <c r="J81">
        <f t="shared" si="26"/>
        <v>0.61925359746741448</v>
      </c>
      <c r="K81">
        <f t="shared" si="27"/>
        <v>3</v>
      </c>
    </row>
    <row r="82" spans="1:11" x14ac:dyDescent="0.2">
      <c r="A82" t="s">
        <v>40</v>
      </c>
      <c r="B82">
        <f>AVERAGE(Processing_index!$C$14,Processing_index!$D$14)</f>
        <v>0.17098608902451254</v>
      </c>
      <c r="C82">
        <f>Processing_index!$T$14</f>
        <v>0.10718623435529315</v>
      </c>
      <c r="D82">
        <f>Processing_index!$U$14</f>
        <v>0.28034164118021382</v>
      </c>
      <c r="E82">
        <f>Processing_index!$V$14</f>
        <v>0.45739639864411208</v>
      </c>
      <c r="F82">
        <f>Processing_index!$W$14</f>
        <v>0.30622596278339304</v>
      </c>
      <c r="G82">
        <f t="shared" si="23"/>
        <v>0.26442726519750492</v>
      </c>
      <c r="H82">
        <f t="shared" si="24"/>
        <v>0.10718623435529315</v>
      </c>
      <c r="I82">
        <f t="shared" si="25"/>
        <v>0.89287449374211725</v>
      </c>
      <c r="J82">
        <f t="shared" si="26"/>
        <v>0.2361003605448348</v>
      </c>
      <c r="K82">
        <f t="shared" si="27"/>
        <v>10</v>
      </c>
    </row>
    <row r="83" spans="1:11" x14ac:dyDescent="0.2">
      <c r="A83" t="s">
        <v>130</v>
      </c>
      <c r="B83">
        <f>AVERAGE(Processing_index!$C$15,Processing_index!$D$15)</f>
        <v>0.1073157977679403</v>
      </c>
      <c r="C83">
        <f>Processing_index!$T$15</f>
        <v>0.23417283141449302</v>
      </c>
      <c r="D83">
        <f>Processing_index!$U$15</f>
        <v>0.36886287936698087</v>
      </c>
      <c r="E83">
        <f>Processing_index!$V$15</f>
        <v>0.35816637363864023</v>
      </c>
      <c r="F83">
        <f>Processing_index!$W$15</f>
        <v>0.31068594867071531</v>
      </c>
      <c r="G83">
        <f t="shared" si="23"/>
        <v>0.27584076617175396</v>
      </c>
      <c r="H83">
        <f t="shared" si="24"/>
        <v>0.1073157977679403</v>
      </c>
      <c r="I83">
        <f t="shared" si="25"/>
        <v>0.89292631910717613</v>
      </c>
      <c r="J83">
        <f t="shared" si="26"/>
        <v>0.24630547999744754</v>
      </c>
      <c r="K83">
        <f t="shared" si="27"/>
        <v>9</v>
      </c>
    </row>
    <row r="84" spans="1:11" x14ac:dyDescent="0.2">
      <c r="A84" s="3" t="s">
        <v>242</v>
      </c>
      <c r="B84">
        <f>1-6*SUMPRODUCT((Processing_index!$AF$6:$AF$15-$K$74:$K$83)^2)/(10*(10^2-1))</f>
        <v>1</v>
      </c>
    </row>
    <row r="85" spans="1:11" x14ac:dyDescent="0.2">
      <c r="A85" s="3" t="s">
        <v>243</v>
      </c>
      <c r="B85">
        <f>SUMPRODUCT(--(Processing_index!$AF$6:$AF$15&lt;&gt;$K$74:$K$83))</f>
        <v>0</v>
      </c>
    </row>
    <row r="87" spans="1:11" x14ac:dyDescent="0.2">
      <c r="A87" s="3" t="s">
        <v>254</v>
      </c>
    </row>
    <row r="88" spans="1:11" x14ac:dyDescent="0.2">
      <c r="A88" s="3" t="s">
        <v>125</v>
      </c>
      <c r="B88" s="3" t="s">
        <v>142</v>
      </c>
      <c r="C88" s="3" t="s">
        <v>156</v>
      </c>
      <c r="D88" s="3" t="s">
        <v>163</v>
      </c>
      <c r="E88" s="3" t="s">
        <v>174</v>
      </c>
      <c r="F88" s="3" t="s">
        <v>183</v>
      </c>
      <c r="G88" s="3" t="s">
        <v>208</v>
      </c>
      <c r="H88" s="3" t="s">
        <v>209</v>
      </c>
      <c r="I88" s="3" t="s">
        <v>211</v>
      </c>
      <c r="J88" s="3" t="s">
        <v>212</v>
      </c>
      <c r="K88" s="3" t="s">
        <v>225</v>
      </c>
    </row>
    <row r="89" spans="1:11" x14ac:dyDescent="0.2">
      <c r="A89" t="s">
        <v>59</v>
      </c>
      <c r="B89">
        <f>AVERAGE(Processing_index!$B$6,Processing_index!$D$6)</f>
        <v>0.51359856068821386</v>
      </c>
      <c r="C89">
        <f>Processing_index!$T$6</f>
        <v>0.62846775225416951</v>
      </c>
      <c r="D89">
        <f>Processing_index!$U$6</f>
        <v>0.34867747763835871</v>
      </c>
      <c r="E89">
        <f>Processing_index!$V$6</f>
        <v>0.77338574140818706</v>
      </c>
      <c r="F89">
        <f>Processing_index!$W$6</f>
        <v>0.52377838567197033</v>
      </c>
      <c r="G89">
        <f t="shared" ref="G89:G98" si="28">AVERAGE(B89:F89)</f>
        <v>0.5575815835321799</v>
      </c>
      <c r="H89">
        <f t="shared" ref="H89:H98" si="29">MIN(B89:F89)</f>
        <v>0.34867747763835871</v>
      </c>
      <c r="I89">
        <f t="shared" ref="I89:I98" si="30">1-alpha*MAX(0,delta-H89)</f>
        <v>0.98947099105534353</v>
      </c>
      <c r="J89">
        <f t="shared" ref="J89:J98" si="31">G89*I89</f>
        <v>0.5517108020517939</v>
      </c>
      <c r="K89">
        <f t="shared" ref="K89:K98" si="32">1+COUNTIF($J$89:$J$98,"&gt;"&amp;J89)</f>
        <v>4</v>
      </c>
    </row>
    <row r="90" spans="1:11" x14ac:dyDescent="0.2">
      <c r="A90" t="s">
        <v>51</v>
      </c>
      <c r="B90">
        <f>AVERAGE(Processing_index!$B$7,Processing_index!$D$7)</f>
        <v>0.27926431440978544</v>
      </c>
      <c r="C90">
        <f>Processing_index!$T$7</f>
        <v>0.29587345968346318</v>
      </c>
      <c r="D90">
        <f>Processing_index!$U$7</f>
        <v>0.5332085800536488</v>
      </c>
      <c r="E90">
        <f>Processing_index!$V$7</f>
        <v>0.60598341167382808</v>
      </c>
      <c r="F90">
        <f>Processing_index!$W$7</f>
        <v>0.47884894822063589</v>
      </c>
      <c r="G90">
        <f t="shared" si="28"/>
        <v>0.43863574280827222</v>
      </c>
      <c r="H90">
        <f t="shared" si="29"/>
        <v>0.27926431440978544</v>
      </c>
      <c r="I90">
        <f t="shared" si="30"/>
        <v>0.96170572576391422</v>
      </c>
      <c r="J90">
        <f t="shared" si="31"/>
        <v>0.42183850538342305</v>
      </c>
      <c r="K90">
        <f t="shared" si="32"/>
        <v>7</v>
      </c>
    </row>
    <row r="91" spans="1:11" x14ac:dyDescent="0.2">
      <c r="A91" t="s">
        <v>61</v>
      </c>
      <c r="B91">
        <f>AVERAGE(Processing_index!$B$8,Processing_index!$D$8)</f>
        <v>0.58906310981611465</v>
      </c>
      <c r="C91">
        <f>Processing_index!$T$8</f>
        <v>0.24148819253858789</v>
      </c>
      <c r="D91">
        <f>Processing_index!$U$8</f>
        <v>0.28762351537264413</v>
      </c>
      <c r="E91">
        <f>Processing_index!$V$8</f>
        <v>0.55737050241713504</v>
      </c>
      <c r="F91">
        <f>Processing_index!$W$8</f>
        <v>0.37810403578378637</v>
      </c>
      <c r="G91">
        <f t="shared" si="28"/>
        <v>0.41072987118565363</v>
      </c>
      <c r="H91">
        <f t="shared" si="29"/>
        <v>0.24148819253858789</v>
      </c>
      <c r="I91">
        <f t="shared" si="30"/>
        <v>0.94659527701543511</v>
      </c>
      <c r="J91">
        <f t="shared" si="31"/>
        <v>0.3887949561934978</v>
      </c>
      <c r="K91">
        <f t="shared" si="32"/>
        <v>8</v>
      </c>
    </row>
    <row r="92" spans="1:11" x14ac:dyDescent="0.2">
      <c r="A92" t="s">
        <v>42</v>
      </c>
      <c r="B92">
        <f>AVERAGE(Processing_index!$B$9,Processing_index!$D$9)</f>
        <v>0.4901040455608302</v>
      </c>
      <c r="C92">
        <f>Processing_index!$T$9</f>
        <v>0.44228904942330344</v>
      </c>
      <c r="D92">
        <f>Processing_index!$U$9</f>
        <v>0.67117889658153684</v>
      </c>
      <c r="E92">
        <f>Processing_index!$V$9</f>
        <v>0.72541215670263681</v>
      </c>
      <c r="F92">
        <f>Processing_index!$W$9</f>
        <v>0.81207893092012473</v>
      </c>
      <c r="G92">
        <f t="shared" si="28"/>
        <v>0.62821261583768639</v>
      </c>
      <c r="H92">
        <f t="shared" si="29"/>
        <v>0.44228904942330344</v>
      </c>
      <c r="I92">
        <f t="shared" si="30"/>
        <v>1</v>
      </c>
      <c r="J92">
        <f t="shared" si="31"/>
        <v>0.62821261583768639</v>
      </c>
      <c r="K92">
        <f t="shared" si="32"/>
        <v>2</v>
      </c>
    </row>
    <row r="93" spans="1:11" x14ac:dyDescent="0.2">
      <c r="A93" t="s">
        <v>64</v>
      </c>
      <c r="B93">
        <f>AVERAGE(Processing_index!$B$10,Processing_index!$D$10)</f>
        <v>0.26073725632219624</v>
      </c>
      <c r="C93">
        <f>Processing_index!$T$10</f>
        <v>0.23499113477492253</v>
      </c>
      <c r="D93">
        <f>Processing_index!$U$10</f>
        <v>0.60004571329783574</v>
      </c>
      <c r="E93">
        <f>Processing_index!$V$10</f>
        <v>0.55285895708554278</v>
      </c>
      <c r="F93">
        <f>Processing_index!$W$10</f>
        <v>0.62284485524938493</v>
      </c>
      <c r="G93">
        <f t="shared" si="28"/>
        <v>0.45429558334597642</v>
      </c>
      <c r="H93">
        <f t="shared" si="29"/>
        <v>0.23499113477492253</v>
      </c>
      <c r="I93">
        <f t="shared" si="30"/>
        <v>0.943996453909969</v>
      </c>
      <c r="J93">
        <f t="shared" si="31"/>
        <v>0.42885341970556251</v>
      </c>
      <c r="K93">
        <f t="shared" si="32"/>
        <v>6</v>
      </c>
    </row>
    <row r="94" spans="1:11" x14ac:dyDescent="0.2">
      <c r="A94" t="s">
        <v>54</v>
      </c>
      <c r="B94">
        <f>AVERAGE(Processing_index!$B$11,Processing_index!$D$11)</f>
        <v>0.7145928203144345</v>
      </c>
      <c r="C94">
        <f>Processing_index!$T$11</f>
        <v>0.39037289108176643</v>
      </c>
      <c r="D94">
        <f>Processing_index!$U$11</f>
        <v>0.75697314098589785</v>
      </c>
      <c r="E94">
        <f>Processing_index!$V$11</f>
        <v>0.8994049098912259</v>
      </c>
      <c r="F94">
        <f>Processing_index!$W$11</f>
        <v>0.88061902134286851</v>
      </c>
      <c r="G94">
        <f t="shared" si="28"/>
        <v>0.72839255672323877</v>
      </c>
      <c r="H94">
        <f t="shared" si="29"/>
        <v>0.39037289108176643</v>
      </c>
      <c r="I94">
        <f t="shared" si="30"/>
        <v>1</v>
      </c>
      <c r="J94">
        <f t="shared" si="31"/>
        <v>0.72839255672323877</v>
      </c>
      <c r="K94">
        <f t="shared" si="32"/>
        <v>1</v>
      </c>
    </row>
    <row r="95" spans="1:11" x14ac:dyDescent="0.2">
      <c r="A95" t="s">
        <v>56</v>
      </c>
      <c r="B95">
        <f>AVERAGE(Processing_index!$B$12,Processing_index!$D$12)</f>
        <v>0.72590164474158025</v>
      </c>
      <c r="C95">
        <f>Processing_index!$T$12</f>
        <v>0.26817044733481826</v>
      </c>
      <c r="D95">
        <f>Processing_index!$U$12</f>
        <v>0.5611371100196817</v>
      </c>
      <c r="E95">
        <f>Processing_index!$V$12</f>
        <v>0.70371201818939955</v>
      </c>
      <c r="F95">
        <f>Processing_index!$W$12</f>
        <v>0.59637572515620552</v>
      </c>
      <c r="G95">
        <f t="shared" si="28"/>
        <v>0.57105938908833709</v>
      </c>
      <c r="H95">
        <f t="shared" si="29"/>
        <v>0.26817044733481826</v>
      </c>
      <c r="I95">
        <f t="shared" si="30"/>
        <v>0.95726817893392735</v>
      </c>
      <c r="J95">
        <f t="shared" si="31"/>
        <v>0.54665698145571351</v>
      </c>
      <c r="K95">
        <f t="shared" si="32"/>
        <v>5</v>
      </c>
    </row>
    <row r="96" spans="1:11" x14ac:dyDescent="0.2">
      <c r="A96" t="s">
        <v>45</v>
      </c>
      <c r="B96">
        <f>AVERAGE(Processing_index!$B$13,Processing_index!$D$13)</f>
        <v>0.58504556837519783</v>
      </c>
      <c r="C96">
        <f>Processing_index!$T$13</f>
        <v>0.37003901547693341</v>
      </c>
      <c r="D96">
        <f>Processing_index!$U$13</f>
        <v>0.62584075418150009</v>
      </c>
      <c r="E96">
        <f>Processing_index!$V$13</f>
        <v>0.90826853207809577</v>
      </c>
      <c r="F96">
        <f>Processing_index!$W$13</f>
        <v>0.61094534851133464</v>
      </c>
      <c r="G96">
        <f t="shared" si="28"/>
        <v>0.62002784372461239</v>
      </c>
      <c r="H96">
        <f t="shared" si="29"/>
        <v>0.37003901547693341</v>
      </c>
      <c r="I96">
        <f t="shared" si="30"/>
        <v>0.99801560619077334</v>
      </c>
      <c r="J96">
        <f t="shared" si="31"/>
        <v>0.61879746430997706</v>
      </c>
      <c r="K96">
        <f t="shared" si="32"/>
        <v>3</v>
      </c>
    </row>
    <row r="97" spans="1:11" x14ac:dyDescent="0.2">
      <c r="A97" t="s">
        <v>40</v>
      </c>
      <c r="B97">
        <f>AVERAGE(Processing_index!$B$14,Processing_index!$D$14)</f>
        <v>0.20107505972554029</v>
      </c>
      <c r="C97">
        <f>Processing_index!$T$14</f>
        <v>0.10718623435529315</v>
      </c>
      <c r="D97">
        <f>Processing_index!$U$14</f>
        <v>0.28034164118021382</v>
      </c>
      <c r="E97">
        <f>Processing_index!$V$14</f>
        <v>0.45739639864411208</v>
      </c>
      <c r="F97">
        <f>Processing_index!$W$14</f>
        <v>0.30622596278339304</v>
      </c>
      <c r="G97">
        <f t="shared" si="28"/>
        <v>0.27044505933771046</v>
      </c>
      <c r="H97">
        <f t="shared" si="29"/>
        <v>0.10718623435529315</v>
      </c>
      <c r="I97">
        <f t="shared" si="30"/>
        <v>0.89287449374211725</v>
      </c>
      <c r="J97">
        <f t="shared" si="31"/>
        <v>0.24147349544121507</v>
      </c>
      <c r="K97">
        <f t="shared" si="32"/>
        <v>10</v>
      </c>
    </row>
    <row r="98" spans="1:11" x14ac:dyDescent="0.2">
      <c r="A98" t="s">
        <v>130</v>
      </c>
      <c r="B98">
        <f>AVERAGE(Processing_index!$B$15,Processing_index!$D$15)</f>
        <v>0.20899720766380026</v>
      </c>
      <c r="C98">
        <f>Processing_index!$T$15</f>
        <v>0.23417283141449302</v>
      </c>
      <c r="D98">
        <f>Processing_index!$U$15</f>
        <v>0.36886287936698087</v>
      </c>
      <c r="E98">
        <f>Processing_index!$V$15</f>
        <v>0.35816637363864023</v>
      </c>
      <c r="F98">
        <f>Processing_index!$W$15</f>
        <v>0.31068594867071531</v>
      </c>
      <c r="G98">
        <f t="shared" si="28"/>
        <v>0.29617704815092594</v>
      </c>
      <c r="H98">
        <f t="shared" si="29"/>
        <v>0.20899720766380026</v>
      </c>
      <c r="I98">
        <f t="shared" si="30"/>
        <v>0.93359888306552008</v>
      </c>
      <c r="J98">
        <f t="shared" si="31"/>
        <v>0.27651056134334723</v>
      </c>
      <c r="K98">
        <f t="shared" si="32"/>
        <v>9</v>
      </c>
    </row>
    <row r="99" spans="1:11" x14ac:dyDescent="0.2">
      <c r="A99" s="3" t="s">
        <v>242</v>
      </c>
      <c r="B99">
        <f>1-6*SUMPRODUCT((Processing_index!$AF$6:$AF$15-$K$89:$K$98)^2)/(10*(10^2-1))</f>
        <v>0.98787878787878791</v>
      </c>
    </row>
    <row r="100" spans="1:11" x14ac:dyDescent="0.2">
      <c r="A100" s="3" t="s">
        <v>243</v>
      </c>
      <c r="B100">
        <f>SUMPRODUCT(--(Processing_index!$AF$6:$AF$15&lt;&gt;$K$89:$K$98))</f>
        <v>2</v>
      </c>
    </row>
    <row r="102" spans="1:11" x14ac:dyDescent="0.2">
      <c r="A102" s="3" t="s">
        <v>255</v>
      </c>
    </row>
    <row r="103" spans="1:11" x14ac:dyDescent="0.2">
      <c r="A103" s="3" t="s">
        <v>125</v>
      </c>
      <c r="B103" s="3" t="s">
        <v>142</v>
      </c>
      <c r="C103" s="3" t="s">
        <v>156</v>
      </c>
      <c r="D103" s="3" t="s">
        <v>163</v>
      </c>
      <c r="E103" s="3" t="s">
        <v>174</v>
      </c>
      <c r="F103" s="3" t="s">
        <v>183</v>
      </c>
      <c r="G103" s="3" t="s">
        <v>208</v>
      </c>
      <c r="H103" s="3" t="s">
        <v>209</v>
      </c>
      <c r="I103" s="3" t="s">
        <v>211</v>
      </c>
      <c r="J103" s="3" t="s">
        <v>212</v>
      </c>
      <c r="K103" s="3" t="s">
        <v>225</v>
      </c>
    </row>
    <row r="104" spans="1:11" x14ac:dyDescent="0.2">
      <c r="A104" t="s">
        <v>59</v>
      </c>
      <c r="B104">
        <f>AVERAGE(Processing_index!$B$6,Processing_index!$C$6)</f>
        <v>0.43082897285995925</v>
      </c>
      <c r="C104">
        <f>Processing_index!$T$6</f>
        <v>0.62846775225416951</v>
      </c>
      <c r="D104">
        <f>Processing_index!$U$6</f>
        <v>0.34867747763835871</v>
      </c>
      <c r="E104">
        <f>Processing_index!$V$6</f>
        <v>0.77338574140818706</v>
      </c>
      <c r="F104">
        <f>Processing_index!$W$6</f>
        <v>0.52377838567197033</v>
      </c>
      <c r="G104">
        <f t="shared" ref="G104:G113" si="33">AVERAGE(B104:F104)</f>
        <v>0.54102766596652896</v>
      </c>
      <c r="H104">
        <f t="shared" ref="H104:H113" si="34">MIN(B104:F104)</f>
        <v>0.34867747763835871</v>
      </c>
      <c r="I104">
        <f t="shared" ref="I104:I113" si="35">1-alpha*MAX(0,delta-H104)</f>
        <v>0.98947099105534353</v>
      </c>
      <c r="J104">
        <f t="shared" ref="J104:J113" si="36">G104*I104</f>
        <v>0.53533118083226072</v>
      </c>
      <c r="K104">
        <f t="shared" ref="K104:K113" si="37">1+COUNTIF($J$104:$J$113,"&gt;"&amp;J104)</f>
        <v>5</v>
      </c>
    </row>
    <row r="105" spans="1:11" x14ac:dyDescent="0.2">
      <c r="A105" t="s">
        <v>51</v>
      </c>
      <c r="B105">
        <f>AVERAGE(Processing_index!$B$7,Processing_index!$C$7)</f>
        <v>0.37097664661132984</v>
      </c>
      <c r="C105">
        <f>Processing_index!$T$7</f>
        <v>0.29587345968346318</v>
      </c>
      <c r="D105">
        <f>Processing_index!$U$7</f>
        <v>0.5332085800536488</v>
      </c>
      <c r="E105">
        <f>Processing_index!$V$7</f>
        <v>0.60598341167382808</v>
      </c>
      <c r="F105">
        <f>Processing_index!$W$7</f>
        <v>0.47884894822063589</v>
      </c>
      <c r="G105">
        <f t="shared" si="33"/>
        <v>0.45697820924858118</v>
      </c>
      <c r="H105">
        <f t="shared" si="34"/>
        <v>0.29587345968346318</v>
      </c>
      <c r="I105">
        <f t="shared" si="35"/>
        <v>0.96834938387338532</v>
      </c>
      <c r="J105">
        <f t="shared" si="36"/>
        <v>0.44251456736942651</v>
      </c>
      <c r="K105">
        <f t="shared" si="37"/>
        <v>7</v>
      </c>
    </row>
    <row r="106" spans="1:11" x14ac:dyDescent="0.2">
      <c r="A106" t="s">
        <v>61</v>
      </c>
      <c r="B106">
        <f>AVERAGE(Processing_index!$B$8,Processing_index!$C$8)</f>
        <v>0.22993358445114848</v>
      </c>
      <c r="C106">
        <f>Processing_index!$T$8</f>
        <v>0.24148819253858789</v>
      </c>
      <c r="D106">
        <f>Processing_index!$U$8</f>
        <v>0.28762351537264413</v>
      </c>
      <c r="E106">
        <f>Processing_index!$V$8</f>
        <v>0.55737050241713504</v>
      </c>
      <c r="F106">
        <f>Processing_index!$W$8</f>
        <v>0.37810403578378637</v>
      </c>
      <c r="G106">
        <f t="shared" si="33"/>
        <v>0.33890396611266038</v>
      </c>
      <c r="H106">
        <f t="shared" si="34"/>
        <v>0.22993358445114848</v>
      </c>
      <c r="I106">
        <f t="shared" si="35"/>
        <v>0.94197343378045939</v>
      </c>
      <c r="J106">
        <f t="shared" si="36"/>
        <v>0.31923853268095914</v>
      </c>
      <c r="K106">
        <f t="shared" si="37"/>
        <v>8</v>
      </c>
    </row>
    <row r="107" spans="1:11" x14ac:dyDescent="0.2">
      <c r="A107" t="s">
        <v>42</v>
      </c>
      <c r="B107">
        <f>AVERAGE(Processing_index!$B$9,Processing_index!$C$9)</f>
        <v>0.71702253526728144</v>
      </c>
      <c r="C107">
        <f>Processing_index!$T$9</f>
        <v>0.44228904942330344</v>
      </c>
      <c r="D107">
        <f>Processing_index!$U$9</f>
        <v>0.67117889658153684</v>
      </c>
      <c r="E107">
        <f>Processing_index!$V$9</f>
        <v>0.72541215670263681</v>
      </c>
      <c r="F107">
        <f>Processing_index!$W$9</f>
        <v>0.81207893092012473</v>
      </c>
      <c r="G107">
        <f t="shared" si="33"/>
        <v>0.67359631377897666</v>
      </c>
      <c r="H107">
        <f t="shared" si="34"/>
        <v>0.44228904942330344</v>
      </c>
      <c r="I107">
        <f t="shared" si="35"/>
        <v>1</v>
      </c>
      <c r="J107">
        <f t="shared" si="36"/>
        <v>0.67359631377897666</v>
      </c>
      <c r="K107">
        <f t="shared" si="37"/>
        <v>2</v>
      </c>
    </row>
    <row r="108" spans="1:11" x14ac:dyDescent="0.2">
      <c r="A108" t="s">
        <v>64</v>
      </c>
      <c r="B108">
        <f>AVERAGE(Processing_index!$B$10,Processing_index!$C$10)</f>
        <v>0.42401733110622508</v>
      </c>
      <c r="C108">
        <f>Processing_index!$T$10</f>
        <v>0.23499113477492253</v>
      </c>
      <c r="D108">
        <f>Processing_index!$U$10</f>
        <v>0.60004571329783574</v>
      </c>
      <c r="E108">
        <f>Processing_index!$V$10</f>
        <v>0.55285895708554278</v>
      </c>
      <c r="F108">
        <f>Processing_index!$W$10</f>
        <v>0.62284485524938493</v>
      </c>
      <c r="G108">
        <f t="shared" si="33"/>
        <v>0.48695159830278217</v>
      </c>
      <c r="H108">
        <f t="shared" si="34"/>
        <v>0.23499113477492253</v>
      </c>
      <c r="I108">
        <f t="shared" si="35"/>
        <v>0.943996453909969</v>
      </c>
      <c r="J108">
        <f t="shared" si="36"/>
        <v>0.45968058202361806</v>
      </c>
      <c r="K108">
        <f t="shared" si="37"/>
        <v>6</v>
      </c>
    </row>
    <row r="109" spans="1:11" x14ac:dyDescent="0.2">
      <c r="A109" t="s">
        <v>54</v>
      </c>
      <c r="B109">
        <f>AVERAGE(Processing_index!$B$11,Processing_index!$C$11)</f>
        <v>0.7730826700300546</v>
      </c>
      <c r="C109">
        <f>Processing_index!$T$11</f>
        <v>0.39037289108176643</v>
      </c>
      <c r="D109">
        <f>Processing_index!$U$11</f>
        <v>0.75697314098589785</v>
      </c>
      <c r="E109">
        <f>Processing_index!$V$11</f>
        <v>0.8994049098912259</v>
      </c>
      <c r="F109">
        <f>Processing_index!$W$11</f>
        <v>0.88061902134286851</v>
      </c>
      <c r="G109">
        <f t="shared" si="33"/>
        <v>0.74009052666636266</v>
      </c>
      <c r="H109">
        <f t="shared" si="34"/>
        <v>0.39037289108176643</v>
      </c>
      <c r="I109">
        <f t="shared" si="35"/>
        <v>1</v>
      </c>
      <c r="J109">
        <f t="shared" si="36"/>
        <v>0.74009052666636266</v>
      </c>
      <c r="K109">
        <f t="shared" si="37"/>
        <v>1</v>
      </c>
    </row>
    <row r="110" spans="1:11" x14ac:dyDescent="0.2">
      <c r="A110" t="s">
        <v>56</v>
      </c>
      <c r="B110">
        <f>AVERAGE(Processing_index!$B$12,Processing_index!$C$12)</f>
        <v>0.68134193213001315</v>
      </c>
      <c r="C110">
        <f>Processing_index!$T$12</f>
        <v>0.26817044733481826</v>
      </c>
      <c r="D110">
        <f>Processing_index!$U$12</f>
        <v>0.5611371100196817</v>
      </c>
      <c r="E110">
        <f>Processing_index!$V$12</f>
        <v>0.70371201818939955</v>
      </c>
      <c r="F110">
        <f>Processing_index!$W$12</f>
        <v>0.59637572515620552</v>
      </c>
      <c r="G110">
        <f t="shared" si="33"/>
        <v>0.56214744656602367</v>
      </c>
      <c r="H110">
        <f t="shared" si="34"/>
        <v>0.26817044733481826</v>
      </c>
      <c r="I110">
        <f t="shared" si="35"/>
        <v>0.95726817893392735</v>
      </c>
      <c r="J110">
        <f t="shared" si="36"/>
        <v>0.53812586246661476</v>
      </c>
      <c r="K110">
        <f t="shared" si="37"/>
        <v>4</v>
      </c>
    </row>
    <row r="111" spans="1:11" x14ac:dyDescent="0.2">
      <c r="A111" t="s">
        <v>45</v>
      </c>
      <c r="B111">
        <f>AVERAGE(Processing_index!$B$13,Processing_index!$C$13)</f>
        <v>0.56280913909768027</v>
      </c>
      <c r="C111">
        <f>Processing_index!$T$13</f>
        <v>0.37003901547693341</v>
      </c>
      <c r="D111">
        <f>Processing_index!$U$13</f>
        <v>0.62584075418150009</v>
      </c>
      <c r="E111">
        <f>Processing_index!$V$13</f>
        <v>0.90826853207809577</v>
      </c>
      <c r="F111">
        <f>Processing_index!$W$13</f>
        <v>0.61094534851133464</v>
      </c>
      <c r="G111">
        <f t="shared" si="33"/>
        <v>0.61558055786910881</v>
      </c>
      <c r="H111">
        <f t="shared" si="34"/>
        <v>0.37003901547693341</v>
      </c>
      <c r="I111">
        <f t="shared" si="35"/>
        <v>0.99801560619077334</v>
      </c>
      <c r="J111">
        <f t="shared" si="36"/>
        <v>0.61435900362099305</v>
      </c>
      <c r="K111">
        <f t="shared" si="37"/>
        <v>3</v>
      </c>
    </row>
    <row r="112" spans="1:11" x14ac:dyDescent="0.2">
      <c r="A112" t="s">
        <v>40</v>
      </c>
      <c r="B112">
        <f>AVERAGE(Processing_index!$B$14,Processing_index!$C$14)</f>
        <v>0.28291915938027301</v>
      </c>
      <c r="C112">
        <f>Processing_index!$T$14</f>
        <v>0.10718623435529315</v>
      </c>
      <c r="D112">
        <f>Processing_index!$U$14</f>
        <v>0.28034164118021382</v>
      </c>
      <c r="E112">
        <f>Processing_index!$V$14</f>
        <v>0.45739639864411208</v>
      </c>
      <c r="F112">
        <f>Processing_index!$W$14</f>
        <v>0.30622596278339304</v>
      </c>
      <c r="G112">
        <f t="shared" si="33"/>
        <v>0.28681387926865703</v>
      </c>
      <c r="H112">
        <f t="shared" si="34"/>
        <v>0.10718623435529315</v>
      </c>
      <c r="I112">
        <f t="shared" si="35"/>
        <v>0.89287449374211725</v>
      </c>
      <c r="J112">
        <f t="shared" si="36"/>
        <v>0.25608879725021488</v>
      </c>
      <c r="K112">
        <f t="shared" si="37"/>
        <v>10</v>
      </c>
    </row>
    <row r="113" spans="1:11" x14ac:dyDescent="0.2">
      <c r="A113" t="s">
        <v>130</v>
      </c>
      <c r="B113">
        <f>AVERAGE(Processing_index!$B$15,Processing_index!$C$15)</f>
        <v>0.20545499480152035</v>
      </c>
      <c r="C113">
        <f>Processing_index!$T$15</f>
        <v>0.23417283141449302</v>
      </c>
      <c r="D113">
        <f>Processing_index!$U$15</f>
        <v>0.36886287936698087</v>
      </c>
      <c r="E113">
        <f>Processing_index!$V$15</f>
        <v>0.35816637363864023</v>
      </c>
      <c r="F113">
        <f>Processing_index!$W$15</f>
        <v>0.31068594867071531</v>
      </c>
      <c r="G113">
        <f t="shared" si="33"/>
        <v>0.29546860557846993</v>
      </c>
      <c r="H113">
        <f t="shared" si="34"/>
        <v>0.20545499480152035</v>
      </c>
      <c r="I113">
        <f t="shared" si="35"/>
        <v>0.93218199792060819</v>
      </c>
      <c r="J113">
        <f t="shared" si="36"/>
        <v>0.27543051507095428</v>
      </c>
      <c r="K113">
        <f t="shared" si="37"/>
        <v>9</v>
      </c>
    </row>
    <row r="114" spans="1:11" x14ac:dyDescent="0.2">
      <c r="A114" s="3" t="s">
        <v>242</v>
      </c>
      <c r="B114">
        <f>1-6*SUMPRODUCT((Processing_index!$AF$6:$AF$15-$K$104:$K$113)^2)/(10*(10^2-1))</f>
        <v>1</v>
      </c>
    </row>
    <row r="115" spans="1:11" x14ac:dyDescent="0.2">
      <c r="A115" s="3" t="s">
        <v>243</v>
      </c>
      <c r="B115">
        <f>SUMPRODUCT(--(Processing_index!$AF$6:$AF$15&lt;&gt;$K$104:$K$113))</f>
        <v>0</v>
      </c>
    </row>
    <row r="117" spans="1:11" x14ac:dyDescent="0.2">
      <c r="A117" s="3" t="s">
        <v>256</v>
      </c>
    </row>
    <row r="118" spans="1:11" x14ac:dyDescent="0.2">
      <c r="A118" s="3" t="s">
        <v>125</v>
      </c>
      <c r="B118" s="3" t="s">
        <v>142</v>
      </c>
      <c r="C118" s="3" t="s">
        <v>156</v>
      </c>
      <c r="D118" s="3" t="s">
        <v>163</v>
      </c>
      <c r="E118" s="3" t="s">
        <v>174</v>
      </c>
      <c r="F118" s="3" t="s">
        <v>183</v>
      </c>
      <c r="G118" s="3" t="s">
        <v>208</v>
      </c>
      <c r="H118" s="3" t="s">
        <v>209</v>
      </c>
      <c r="I118" s="3" t="s">
        <v>211</v>
      </c>
      <c r="J118" s="3" t="s">
        <v>212</v>
      </c>
      <c r="K118" s="3" t="s">
        <v>225</v>
      </c>
    </row>
    <row r="119" spans="1:11" x14ac:dyDescent="0.2">
      <c r="A119" t="s">
        <v>59</v>
      </c>
      <c r="B119">
        <f>Processing_index!$S$6</f>
        <v>0.4430279712764193</v>
      </c>
      <c r="C119">
        <f>AVERAGE(Processing_index!$F$6)</f>
        <v>0.51136028326940097</v>
      </c>
      <c r="D119">
        <f>Processing_index!$U$6</f>
        <v>0.34867747763835871</v>
      </c>
      <c r="E119">
        <f>Processing_index!$V$6</f>
        <v>0.77338574140818706</v>
      </c>
      <c r="F119">
        <f>Processing_index!$W$6</f>
        <v>0.52377838567197033</v>
      </c>
      <c r="G119">
        <f t="shared" ref="G119:G128" si="38">AVERAGE(B119:F119)</f>
        <v>0.52004597185286727</v>
      </c>
      <c r="H119">
        <f t="shared" ref="H119:H128" si="39">MIN(B119:F119)</f>
        <v>0.34867747763835871</v>
      </c>
      <c r="I119">
        <f t="shared" ref="I119:I128" si="40">1-alpha*MAX(0,delta-H119)</f>
        <v>0.98947099105534353</v>
      </c>
      <c r="J119">
        <f t="shared" ref="J119:J128" si="41">G119*I119</f>
        <v>0.51457040316359581</v>
      </c>
      <c r="K119">
        <f t="shared" ref="K119:K128" si="42">1+COUNTIF($J$119:$J$128,"&gt;"&amp;J119)</f>
        <v>4</v>
      </c>
    </row>
    <row r="120" spans="1:11" x14ac:dyDescent="0.2">
      <c r="A120" t="s">
        <v>51</v>
      </c>
      <c r="B120">
        <f>Processing_index!$S$7</f>
        <v>0.29262275048702674</v>
      </c>
      <c r="C120">
        <f>AVERAGE(Processing_index!$F$7)</f>
        <v>0.27205665388020067</v>
      </c>
      <c r="D120">
        <f>Processing_index!$U$7</f>
        <v>0.5332085800536488</v>
      </c>
      <c r="E120">
        <f>Processing_index!$V$7</f>
        <v>0.60598341167382808</v>
      </c>
      <c r="F120">
        <f>Processing_index!$W$7</f>
        <v>0.47884894822063589</v>
      </c>
      <c r="G120">
        <f t="shared" si="38"/>
        <v>0.43654406886306801</v>
      </c>
      <c r="H120">
        <f t="shared" si="39"/>
        <v>0.27205665388020067</v>
      </c>
      <c r="I120">
        <f t="shared" si="40"/>
        <v>0.95882266155208029</v>
      </c>
      <c r="J120">
        <f t="shared" si="41"/>
        <v>0.4185683459920615</v>
      </c>
      <c r="K120">
        <f t="shared" si="42"/>
        <v>7</v>
      </c>
    </row>
    <row r="121" spans="1:11" x14ac:dyDescent="0.2">
      <c r="A121" t="s">
        <v>61</v>
      </c>
      <c r="B121">
        <f>Processing_index!$S$8</f>
        <v>0.44050748201577455</v>
      </c>
      <c r="C121">
        <f>AVERAGE(Processing_index!$F$8)</f>
        <v>0.16494541162584833</v>
      </c>
      <c r="D121">
        <f>Processing_index!$U$8</f>
        <v>0.28762351537264413</v>
      </c>
      <c r="E121">
        <f>Processing_index!$V$8</f>
        <v>0.55737050241713504</v>
      </c>
      <c r="F121">
        <f>Processing_index!$W$8</f>
        <v>0.37810403578378637</v>
      </c>
      <c r="G121">
        <f t="shared" si="38"/>
        <v>0.36571018944303774</v>
      </c>
      <c r="H121">
        <f t="shared" si="39"/>
        <v>0.16494541162584833</v>
      </c>
      <c r="I121">
        <f t="shared" si="40"/>
        <v>0.91597816465033932</v>
      </c>
      <c r="J121">
        <f t="shared" si="41"/>
        <v>0.33498254811996159</v>
      </c>
      <c r="K121">
        <f t="shared" si="42"/>
        <v>8</v>
      </c>
    </row>
    <row r="122" spans="1:11" x14ac:dyDescent="0.2">
      <c r="A122" t="s">
        <v>42</v>
      </c>
      <c r="B122">
        <f>Processing_index!$S$9</f>
        <v>0.56305678509086798</v>
      </c>
      <c r="C122">
        <f>AVERAGE(Processing_index!$F$9)</f>
        <v>0.46975508999704929</v>
      </c>
      <c r="D122">
        <f>Processing_index!$U$9</f>
        <v>0.67117889658153684</v>
      </c>
      <c r="E122">
        <f>Processing_index!$V$9</f>
        <v>0.72541215670263681</v>
      </c>
      <c r="F122">
        <f>Processing_index!$W$9</f>
        <v>0.81207893092012473</v>
      </c>
      <c r="G122">
        <f t="shared" si="38"/>
        <v>0.64829637185844313</v>
      </c>
      <c r="H122">
        <f t="shared" si="39"/>
        <v>0.46975508999704929</v>
      </c>
      <c r="I122">
        <f t="shared" si="40"/>
        <v>1</v>
      </c>
      <c r="J122">
        <f t="shared" si="41"/>
        <v>0.64829637185844313</v>
      </c>
      <c r="K122">
        <f t="shared" si="42"/>
        <v>2</v>
      </c>
    </row>
    <row r="123" spans="1:11" x14ac:dyDescent="0.2">
      <c r="A123" t="s">
        <v>64</v>
      </c>
      <c r="B123">
        <f>Processing_index!$S$10</f>
        <v>0.35071163000096101</v>
      </c>
      <c r="C123">
        <f>AVERAGE(Processing_index!$F$10)</f>
        <v>0.2398937739746238</v>
      </c>
      <c r="D123">
        <f>Processing_index!$U$10</f>
        <v>0.60004571329783574</v>
      </c>
      <c r="E123">
        <f>Processing_index!$V$10</f>
        <v>0.55285895708554278</v>
      </c>
      <c r="F123">
        <f>Processing_index!$W$10</f>
        <v>0.62284485524938493</v>
      </c>
      <c r="G123">
        <f t="shared" si="38"/>
        <v>0.47327098592166966</v>
      </c>
      <c r="H123">
        <f t="shared" si="39"/>
        <v>0.2398937739746238</v>
      </c>
      <c r="I123">
        <f t="shared" si="40"/>
        <v>0.94595750958984948</v>
      </c>
      <c r="J123">
        <f t="shared" si="41"/>
        <v>0.44769424320359535</v>
      </c>
      <c r="K123">
        <f t="shared" si="42"/>
        <v>6</v>
      </c>
    </row>
    <row r="124" spans="1:11" x14ac:dyDescent="0.2">
      <c r="A124" t="s">
        <v>54</v>
      </c>
      <c r="B124">
        <f>Processing_index!$S$11</f>
        <v>0.69463420725364811</v>
      </c>
      <c r="C124">
        <f>AVERAGE(Processing_index!$F$11)</f>
        <v>0.35320153437592211</v>
      </c>
      <c r="D124">
        <f>Processing_index!$U$11</f>
        <v>0.75697314098589785</v>
      </c>
      <c r="E124">
        <f>Processing_index!$V$11</f>
        <v>0.8994049098912259</v>
      </c>
      <c r="F124">
        <f>Processing_index!$W$11</f>
        <v>0.88061902134286851</v>
      </c>
      <c r="G124">
        <f t="shared" si="38"/>
        <v>0.71696656276991255</v>
      </c>
      <c r="H124">
        <f t="shared" si="39"/>
        <v>0.35320153437592211</v>
      </c>
      <c r="I124">
        <f t="shared" si="40"/>
        <v>0.9912806137503688</v>
      </c>
      <c r="J124">
        <f t="shared" si="41"/>
        <v>0.7107150543810512</v>
      </c>
      <c r="K124">
        <f t="shared" si="42"/>
        <v>1</v>
      </c>
    </row>
    <row r="125" spans="1:11" x14ac:dyDescent="0.2">
      <c r="A125" t="s">
        <v>56</v>
      </c>
      <c r="B125">
        <f>Processing_index!$S$12</f>
        <v>0.71082122228055045</v>
      </c>
      <c r="C125">
        <f>AVERAGE(Processing_index!$F$12)</f>
        <v>0.19563293006786661</v>
      </c>
      <c r="D125">
        <f>Processing_index!$U$12</f>
        <v>0.5611371100196817</v>
      </c>
      <c r="E125">
        <f>Processing_index!$V$12</f>
        <v>0.70371201818939955</v>
      </c>
      <c r="F125">
        <f>Processing_index!$W$12</f>
        <v>0.59637572515620552</v>
      </c>
      <c r="G125">
        <f t="shared" si="38"/>
        <v>0.55353580114274081</v>
      </c>
      <c r="H125">
        <f t="shared" si="39"/>
        <v>0.19563293006786661</v>
      </c>
      <c r="I125">
        <f t="shared" si="40"/>
        <v>0.92825317202714663</v>
      </c>
      <c r="J125">
        <f t="shared" si="41"/>
        <v>0.51382136324133698</v>
      </c>
      <c r="K125">
        <f t="shared" si="42"/>
        <v>5</v>
      </c>
    </row>
    <row r="126" spans="1:11" x14ac:dyDescent="0.2">
      <c r="A126" t="s">
        <v>45</v>
      </c>
      <c r="B126">
        <f>Processing_index!$S$13</f>
        <v>0.57839515879101233</v>
      </c>
      <c r="C126">
        <f>AVERAGE(Processing_index!$F$13)</f>
        <v>0.48952493360873411</v>
      </c>
      <c r="D126">
        <f>Processing_index!$U$13</f>
        <v>0.62584075418150009</v>
      </c>
      <c r="E126">
        <f>Processing_index!$V$13</f>
        <v>0.90826853207809577</v>
      </c>
      <c r="F126">
        <f>Processing_index!$W$13</f>
        <v>0.61094534851133464</v>
      </c>
      <c r="G126">
        <f t="shared" si="38"/>
        <v>0.64259494543413542</v>
      </c>
      <c r="H126">
        <f t="shared" si="39"/>
        <v>0.48952493360873411</v>
      </c>
      <c r="I126">
        <f t="shared" si="40"/>
        <v>1</v>
      </c>
      <c r="J126">
        <f t="shared" si="41"/>
        <v>0.64259494543413542</v>
      </c>
      <c r="K126">
        <f t="shared" si="42"/>
        <v>3</v>
      </c>
    </row>
    <row r="127" spans="1:11" x14ac:dyDescent="0.2">
      <c r="A127" t="s">
        <v>40</v>
      </c>
      <c r="B127">
        <f>Processing_index!$S$14</f>
        <v>0.21832676937677528</v>
      </c>
      <c r="C127">
        <f>AVERAGE(Processing_index!$F$14)</f>
        <v>9.7668928887577458E-2</v>
      </c>
      <c r="D127">
        <f>Processing_index!$U$14</f>
        <v>0.28034164118021382</v>
      </c>
      <c r="E127">
        <f>Processing_index!$V$14</f>
        <v>0.45739639864411208</v>
      </c>
      <c r="F127">
        <f>Processing_index!$W$14</f>
        <v>0.30622596278339304</v>
      </c>
      <c r="G127">
        <f t="shared" si="38"/>
        <v>0.2719919401744143</v>
      </c>
      <c r="H127">
        <f t="shared" si="39"/>
        <v>9.7668928887577458E-2</v>
      </c>
      <c r="I127">
        <f t="shared" si="40"/>
        <v>0.88906757155503091</v>
      </c>
      <c r="J127">
        <f t="shared" si="41"/>
        <v>0.24181921373340778</v>
      </c>
      <c r="K127">
        <f t="shared" si="42"/>
        <v>10</v>
      </c>
    </row>
    <row r="128" spans="1:11" x14ac:dyDescent="0.2">
      <c r="A128" t="s">
        <v>130</v>
      </c>
      <c r="B128">
        <f>Processing_index!$S$15</f>
        <v>0.17392266674442028</v>
      </c>
      <c r="C128">
        <f>AVERAGE(Processing_index!$F$15)</f>
        <v>0.19179699026261435</v>
      </c>
      <c r="D128">
        <f>Processing_index!$U$15</f>
        <v>0.36886287936698087</v>
      </c>
      <c r="E128">
        <f>Processing_index!$V$15</f>
        <v>0.35816637363864023</v>
      </c>
      <c r="F128">
        <f>Processing_index!$W$15</f>
        <v>0.31068594867071531</v>
      </c>
      <c r="G128">
        <f t="shared" si="38"/>
        <v>0.28068697173667417</v>
      </c>
      <c r="H128">
        <f t="shared" si="39"/>
        <v>0.17392266674442028</v>
      </c>
      <c r="I128">
        <f t="shared" si="40"/>
        <v>0.91956906669776806</v>
      </c>
      <c r="J128">
        <f t="shared" si="41"/>
        <v>0.25811105663411626</v>
      </c>
      <c r="K128">
        <f t="shared" si="42"/>
        <v>9</v>
      </c>
    </row>
    <row r="129" spans="1:11" x14ac:dyDescent="0.2">
      <c r="A129" s="3" t="s">
        <v>242</v>
      </c>
      <c r="B129">
        <f>1-6*SUMPRODUCT((Processing_index!$AF$6:$AF$15-$K$119:$K$128)^2)/(10*(10^2-1))</f>
        <v>0.98787878787878791</v>
      </c>
    </row>
    <row r="130" spans="1:11" x14ac:dyDescent="0.2">
      <c r="A130" s="3" t="s">
        <v>243</v>
      </c>
      <c r="B130">
        <f>SUMPRODUCT(--(Processing_index!$AF$6:$AF$15&lt;&gt;$K$119:$K$128))</f>
        <v>2</v>
      </c>
    </row>
    <row r="132" spans="1:11" x14ac:dyDescent="0.2">
      <c r="A132" s="3" t="s">
        <v>257</v>
      </c>
    </row>
    <row r="133" spans="1:11" x14ac:dyDescent="0.2">
      <c r="A133" s="3" t="s">
        <v>125</v>
      </c>
      <c r="B133" s="3" t="s">
        <v>142</v>
      </c>
      <c r="C133" s="3" t="s">
        <v>156</v>
      </c>
      <c r="D133" s="3" t="s">
        <v>163</v>
      </c>
      <c r="E133" s="3" t="s">
        <v>174</v>
      </c>
      <c r="F133" s="3" t="s">
        <v>183</v>
      </c>
      <c r="G133" s="3" t="s">
        <v>208</v>
      </c>
      <c r="H133" s="3" t="s">
        <v>209</v>
      </c>
      <c r="I133" s="3" t="s">
        <v>211</v>
      </c>
      <c r="J133" s="3" t="s">
        <v>212</v>
      </c>
      <c r="K133" s="3" t="s">
        <v>225</v>
      </c>
    </row>
    <row r="134" spans="1:11" x14ac:dyDescent="0.2">
      <c r="A134" t="s">
        <v>59</v>
      </c>
      <c r="B134">
        <f>Processing_index!$S$6</f>
        <v>0.4430279712764193</v>
      </c>
      <c r="C134">
        <f>AVERAGE(Processing_index!$E$6)</f>
        <v>0.74557522123893816</v>
      </c>
      <c r="D134">
        <f>Processing_index!$U$6</f>
        <v>0.34867747763835871</v>
      </c>
      <c r="E134">
        <f>Processing_index!$V$6</f>
        <v>0.77338574140818706</v>
      </c>
      <c r="F134">
        <f>Processing_index!$W$6</f>
        <v>0.52377838567197033</v>
      </c>
      <c r="G134">
        <f t="shared" ref="G134:G143" si="43">AVERAGE(B134:F134)</f>
        <v>0.56688895944677475</v>
      </c>
      <c r="H134">
        <f t="shared" ref="H134:H143" si="44">MIN(B134:F134)</f>
        <v>0.34867747763835871</v>
      </c>
      <c r="I134">
        <f t="shared" ref="I134:I143" si="45">1-alpha*MAX(0,delta-H134)</f>
        <v>0.98947099105534353</v>
      </c>
      <c r="J134">
        <f t="shared" ref="J134:J143" si="46">G134*I134</f>
        <v>0.56092018052213266</v>
      </c>
      <c r="K134">
        <f t="shared" ref="K134:K143" si="47">1+COUNTIF($J$134:$J$143,"&gt;"&amp;J134)</f>
        <v>5</v>
      </c>
    </row>
    <row r="135" spans="1:11" x14ac:dyDescent="0.2">
      <c r="A135" t="s">
        <v>51</v>
      </c>
      <c r="B135">
        <f>Processing_index!$S$7</f>
        <v>0.29262275048702674</v>
      </c>
      <c r="C135">
        <f>AVERAGE(Processing_index!$E$7)</f>
        <v>0.31969026548672569</v>
      </c>
      <c r="D135">
        <f>Processing_index!$U$7</f>
        <v>0.5332085800536488</v>
      </c>
      <c r="E135">
        <f>Processing_index!$V$7</f>
        <v>0.60598341167382808</v>
      </c>
      <c r="F135">
        <f>Processing_index!$W$7</f>
        <v>0.47884894822063589</v>
      </c>
      <c r="G135">
        <f t="shared" si="43"/>
        <v>0.44607079118437304</v>
      </c>
      <c r="H135">
        <f t="shared" si="44"/>
        <v>0.29262275048702674</v>
      </c>
      <c r="I135">
        <f t="shared" si="45"/>
        <v>0.96704910019481072</v>
      </c>
      <c r="J135">
        <f t="shared" si="46"/>
        <v>0.43137235723803524</v>
      </c>
      <c r="K135">
        <f t="shared" si="47"/>
        <v>7</v>
      </c>
    </row>
    <row r="136" spans="1:11" x14ac:dyDescent="0.2">
      <c r="A136" t="s">
        <v>61</v>
      </c>
      <c r="B136">
        <f>Processing_index!$S$8</f>
        <v>0.44050748201577455</v>
      </c>
      <c r="C136">
        <f>AVERAGE(Processing_index!$E$8)</f>
        <v>0.31803097345132747</v>
      </c>
      <c r="D136">
        <f>Processing_index!$U$8</f>
        <v>0.28762351537264413</v>
      </c>
      <c r="E136">
        <f>Processing_index!$V$8</f>
        <v>0.55737050241713504</v>
      </c>
      <c r="F136">
        <f>Processing_index!$W$8</f>
        <v>0.37810403578378637</v>
      </c>
      <c r="G136">
        <f t="shared" si="43"/>
        <v>0.39632730180813353</v>
      </c>
      <c r="H136">
        <f t="shared" si="44"/>
        <v>0.28762351537264413</v>
      </c>
      <c r="I136">
        <f t="shared" si="45"/>
        <v>0.96504940614905765</v>
      </c>
      <c r="J136">
        <f t="shared" si="46"/>
        <v>0.38247542725059758</v>
      </c>
      <c r="K136">
        <f t="shared" si="47"/>
        <v>8</v>
      </c>
    </row>
    <row r="137" spans="1:11" x14ac:dyDescent="0.2">
      <c r="A137" t="s">
        <v>42</v>
      </c>
      <c r="B137">
        <f>Processing_index!$S$9</f>
        <v>0.56305678509086798</v>
      </c>
      <c r="C137">
        <f>AVERAGE(Processing_index!$E$9)</f>
        <v>0.41482300884955758</v>
      </c>
      <c r="D137">
        <f>Processing_index!$U$9</f>
        <v>0.67117889658153684</v>
      </c>
      <c r="E137">
        <f>Processing_index!$V$9</f>
        <v>0.72541215670263681</v>
      </c>
      <c r="F137">
        <f>Processing_index!$W$9</f>
        <v>0.81207893092012473</v>
      </c>
      <c r="G137">
        <f t="shared" si="43"/>
        <v>0.63730995562894477</v>
      </c>
      <c r="H137">
        <f t="shared" si="44"/>
        <v>0.41482300884955758</v>
      </c>
      <c r="I137">
        <f t="shared" si="45"/>
        <v>1</v>
      </c>
      <c r="J137">
        <f t="shared" si="46"/>
        <v>0.63730995562894477</v>
      </c>
      <c r="K137">
        <f t="shared" si="47"/>
        <v>2</v>
      </c>
    </row>
    <row r="138" spans="1:11" x14ac:dyDescent="0.2">
      <c r="A138" t="s">
        <v>64</v>
      </c>
      <c r="B138">
        <f>Processing_index!$S$10</f>
        <v>0.35071163000096101</v>
      </c>
      <c r="C138">
        <f>AVERAGE(Processing_index!$E$10)</f>
        <v>0.23008849557522126</v>
      </c>
      <c r="D138">
        <f>Processing_index!$U$10</f>
        <v>0.60004571329783574</v>
      </c>
      <c r="E138">
        <f>Processing_index!$V$10</f>
        <v>0.55285895708554278</v>
      </c>
      <c r="F138">
        <f>Processing_index!$W$10</f>
        <v>0.62284485524938493</v>
      </c>
      <c r="G138">
        <f t="shared" si="43"/>
        <v>0.47130993024178913</v>
      </c>
      <c r="H138">
        <f t="shared" si="44"/>
        <v>0.23008849557522126</v>
      </c>
      <c r="I138">
        <f t="shared" si="45"/>
        <v>0.94203539823008853</v>
      </c>
      <c r="J138">
        <f t="shared" si="46"/>
        <v>0.44399063782511905</v>
      </c>
      <c r="K138">
        <f t="shared" si="47"/>
        <v>6</v>
      </c>
    </row>
    <row r="139" spans="1:11" x14ac:dyDescent="0.2">
      <c r="A139" t="s">
        <v>54</v>
      </c>
      <c r="B139">
        <f>Processing_index!$S$11</f>
        <v>0.69463420725364811</v>
      </c>
      <c r="C139">
        <f>AVERAGE(Processing_index!$E$11)</f>
        <v>0.42754424778761069</v>
      </c>
      <c r="D139">
        <f>Processing_index!$U$11</f>
        <v>0.75697314098589785</v>
      </c>
      <c r="E139">
        <f>Processing_index!$V$11</f>
        <v>0.8994049098912259</v>
      </c>
      <c r="F139">
        <f>Processing_index!$W$11</f>
        <v>0.88061902134286851</v>
      </c>
      <c r="G139">
        <f t="shared" si="43"/>
        <v>0.73183510545225028</v>
      </c>
      <c r="H139">
        <f t="shared" si="44"/>
        <v>0.42754424778761069</v>
      </c>
      <c r="I139">
        <f t="shared" si="45"/>
        <v>1</v>
      </c>
      <c r="J139">
        <f t="shared" si="46"/>
        <v>0.73183510545225028</v>
      </c>
      <c r="K139">
        <f t="shared" si="47"/>
        <v>1</v>
      </c>
    </row>
    <row r="140" spans="1:11" x14ac:dyDescent="0.2">
      <c r="A140" t="s">
        <v>56</v>
      </c>
      <c r="B140">
        <f>Processing_index!$S$12</f>
        <v>0.71082122228055045</v>
      </c>
      <c r="C140">
        <f>AVERAGE(Processing_index!$E$12)</f>
        <v>0.34070796460176994</v>
      </c>
      <c r="D140">
        <f>Processing_index!$U$12</f>
        <v>0.5611371100196817</v>
      </c>
      <c r="E140">
        <f>Processing_index!$V$12</f>
        <v>0.70371201818939955</v>
      </c>
      <c r="F140">
        <f>Processing_index!$W$12</f>
        <v>0.59637572515620552</v>
      </c>
      <c r="G140">
        <f t="shared" si="43"/>
        <v>0.58255080804952142</v>
      </c>
      <c r="H140">
        <f t="shared" si="44"/>
        <v>0.34070796460176994</v>
      </c>
      <c r="I140">
        <f t="shared" si="45"/>
        <v>0.98628318584070795</v>
      </c>
      <c r="J140">
        <f t="shared" si="46"/>
        <v>0.57456006687716077</v>
      </c>
      <c r="K140">
        <f t="shared" si="47"/>
        <v>3</v>
      </c>
    </row>
    <row r="141" spans="1:11" x14ac:dyDescent="0.2">
      <c r="A141" t="s">
        <v>45</v>
      </c>
      <c r="B141">
        <f>Processing_index!$S$13</f>
        <v>0.57839515879101233</v>
      </c>
      <c r="C141">
        <f>AVERAGE(Processing_index!$E$13)</f>
        <v>0.25055309734513276</v>
      </c>
      <c r="D141">
        <f>Processing_index!$U$13</f>
        <v>0.62584075418150009</v>
      </c>
      <c r="E141">
        <f>Processing_index!$V$13</f>
        <v>0.90826853207809577</v>
      </c>
      <c r="F141">
        <f>Processing_index!$W$13</f>
        <v>0.61094534851133464</v>
      </c>
      <c r="G141">
        <f t="shared" si="43"/>
        <v>0.59480057818141518</v>
      </c>
      <c r="H141">
        <f t="shared" si="44"/>
        <v>0.25055309734513276</v>
      </c>
      <c r="I141">
        <f t="shared" si="45"/>
        <v>0.9502212389380531</v>
      </c>
      <c r="J141">
        <f t="shared" si="46"/>
        <v>0.56519214232061465</v>
      </c>
      <c r="K141">
        <f t="shared" si="47"/>
        <v>4</v>
      </c>
    </row>
    <row r="142" spans="1:11" x14ac:dyDescent="0.2">
      <c r="A142" t="s">
        <v>40</v>
      </c>
      <c r="B142">
        <f>Processing_index!$S$14</f>
        <v>0.21832676937677528</v>
      </c>
      <c r="C142">
        <f>AVERAGE(Processing_index!$E$14)</f>
        <v>0.11670353982300885</v>
      </c>
      <c r="D142">
        <f>Processing_index!$U$14</f>
        <v>0.28034164118021382</v>
      </c>
      <c r="E142">
        <f>Processing_index!$V$14</f>
        <v>0.45739639864411208</v>
      </c>
      <c r="F142">
        <f>Processing_index!$W$14</f>
        <v>0.30622596278339304</v>
      </c>
      <c r="G142">
        <f t="shared" si="43"/>
        <v>0.27579886236150059</v>
      </c>
      <c r="H142">
        <f t="shared" si="44"/>
        <v>0.11670353982300885</v>
      </c>
      <c r="I142">
        <f t="shared" si="45"/>
        <v>0.89668141592920358</v>
      </c>
      <c r="J142">
        <f t="shared" si="46"/>
        <v>0.24730371441397389</v>
      </c>
      <c r="K142">
        <f t="shared" si="47"/>
        <v>10</v>
      </c>
    </row>
    <row r="143" spans="1:11" x14ac:dyDescent="0.2">
      <c r="A143" t="s">
        <v>130</v>
      </c>
      <c r="B143">
        <f>Processing_index!$S$15</f>
        <v>0.17392266674442028</v>
      </c>
      <c r="C143">
        <f>AVERAGE(Processing_index!$E$15)</f>
        <v>0.27654867256637172</v>
      </c>
      <c r="D143">
        <f>Processing_index!$U$15</f>
        <v>0.36886287936698087</v>
      </c>
      <c r="E143">
        <f>Processing_index!$V$15</f>
        <v>0.35816637363864023</v>
      </c>
      <c r="F143">
        <f>Processing_index!$W$15</f>
        <v>0.31068594867071531</v>
      </c>
      <c r="G143">
        <f t="shared" si="43"/>
        <v>0.29763730819742562</v>
      </c>
      <c r="H143">
        <f t="shared" si="44"/>
        <v>0.17392266674442028</v>
      </c>
      <c r="I143">
        <f t="shared" si="45"/>
        <v>0.91956906669776806</v>
      </c>
      <c r="J143">
        <f t="shared" si="46"/>
        <v>0.27369806171354261</v>
      </c>
      <c r="K143">
        <f t="shared" si="47"/>
        <v>9</v>
      </c>
    </row>
    <row r="144" spans="1:11" x14ac:dyDescent="0.2">
      <c r="A144" s="3" t="s">
        <v>242</v>
      </c>
      <c r="B144">
        <f>1-6*SUMPRODUCT((Processing_index!$AF$6:$AF$15-$K$134:$K$143)^2)/(10*(10^2-1))</f>
        <v>0.98787878787878791</v>
      </c>
    </row>
    <row r="145" spans="1:11" x14ac:dyDescent="0.2">
      <c r="A145" s="3" t="s">
        <v>243</v>
      </c>
      <c r="B145">
        <f>SUMPRODUCT(--(Processing_index!$AF$6:$AF$15&lt;&gt;$K$134:$K$143))</f>
        <v>2</v>
      </c>
    </row>
    <row r="147" spans="1:11" x14ac:dyDescent="0.2">
      <c r="A147" s="3" t="s">
        <v>258</v>
      </c>
    </row>
    <row r="148" spans="1:11" x14ac:dyDescent="0.2">
      <c r="A148" s="3" t="s">
        <v>125</v>
      </c>
      <c r="B148" s="3" t="s">
        <v>142</v>
      </c>
      <c r="C148" s="3" t="s">
        <v>156</v>
      </c>
      <c r="D148" s="3" t="s">
        <v>163</v>
      </c>
      <c r="E148" s="3" t="s">
        <v>174</v>
      </c>
      <c r="F148" s="3" t="s">
        <v>183</v>
      </c>
      <c r="G148" s="3" t="s">
        <v>208</v>
      </c>
      <c r="H148" s="3" t="s">
        <v>209</v>
      </c>
      <c r="I148" s="3" t="s">
        <v>211</v>
      </c>
      <c r="J148" s="3" t="s">
        <v>212</v>
      </c>
      <c r="K148" s="3" t="s">
        <v>225</v>
      </c>
    </row>
    <row r="149" spans="1:11" x14ac:dyDescent="0.2">
      <c r="A149" t="s">
        <v>59</v>
      </c>
      <c r="B149">
        <f>Processing_index!$S$6</f>
        <v>0.4430279712764193</v>
      </c>
      <c r="C149">
        <f>Processing_index!$T$6</f>
        <v>0.62846775225416951</v>
      </c>
      <c r="D149">
        <f>AVERAGE(Processing_index!$H$6,Processing_index!$I$6)</f>
        <v>0.29933200593122233</v>
      </c>
      <c r="E149">
        <f>Processing_index!$V$6</f>
        <v>0.77338574140818706</v>
      </c>
      <c r="F149">
        <f>Processing_index!$W$6</f>
        <v>0.52377838567197033</v>
      </c>
      <c r="G149">
        <f t="shared" ref="G149:G158" si="48">AVERAGE(B149:F149)</f>
        <v>0.53359837130839372</v>
      </c>
      <c r="H149">
        <f t="shared" ref="H149:H158" si="49">MIN(B149:F149)</f>
        <v>0.29933200593122233</v>
      </c>
      <c r="I149">
        <f t="shared" ref="I149:I158" si="50">1-alpha*MAX(0,delta-H149)</f>
        <v>0.96973280237248893</v>
      </c>
      <c r="J149">
        <f t="shared" ref="J149:J158" si="51">G149*I149</f>
        <v>0.51744784395028454</v>
      </c>
      <c r="K149">
        <f t="shared" ref="K149:K158" si="52">1+COUNTIF($J$149:$J$158,"&gt;"&amp;J149)</f>
        <v>5</v>
      </c>
    </row>
    <row r="150" spans="1:11" x14ac:dyDescent="0.2">
      <c r="A150" t="s">
        <v>51</v>
      </c>
      <c r="B150">
        <f>Processing_index!$S$7</f>
        <v>0.29262275048702674</v>
      </c>
      <c r="C150">
        <f>Processing_index!$T$7</f>
        <v>0.29587345968346318</v>
      </c>
      <c r="D150">
        <f>AVERAGE(Processing_index!$H$7,Processing_index!$I$7)</f>
        <v>0.5332085800536488</v>
      </c>
      <c r="E150">
        <f>Processing_index!$V$7</f>
        <v>0.60598341167382808</v>
      </c>
      <c r="F150">
        <f>Processing_index!$W$7</f>
        <v>0.47884894822063589</v>
      </c>
      <c r="G150">
        <f t="shared" si="48"/>
        <v>0.44130743002372058</v>
      </c>
      <c r="H150">
        <f t="shared" si="49"/>
        <v>0.29262275048702674</v>
      </c>
      <c r="I150">
        <f t="shared" si="50"/>
        <v>0.96704910019481072</v>
      </c>
      <c r="J150">
        <f t="shared" si="51"/>
        <v>0.4267659531137234</v>
      </c>
      <c r="K150">
        <f t="shared" si="52"/>
        <v>7</v>
      </c>
    </row>
    <row r="151" spans="1:11" x14ac:dyDescent="0.2">
      <c r="A151" t="s">
        <v>61</v>
      </c>
      <c r="B151">
        <f>Processing_index!$S$8</f>
        <v>0.44050748201577455</v>
      </c>
      <c r="C151">
        <f>Processing_index!$T$8</f>
        <v>0.24148819253858789</v>
      </c>
      <c r="D151">
        <f>AVERAGE(Processing_index!$H$8,Processing_index!$I$8)</f>
        <v>0.33885670433499809</v>
      </c>
      <c r="E151">
        <f>Processing_index!$V$8</f>
        <v>0.55737050241713504</v>
      </c>
      <c r="F151">
        <f>Processing_index!$W$8</f>
        <v>0.37810403578378637</v>
      </c>
      <c r="G151">
        <f t="shared" si="48"/>
        <v>0.39126538341805639</v>
      </c>
      <c r="H151">
        <f t="shared" si="49"/>
        <v>0.24148819253858789</v>
      </c>
      <c r="I151">
        <f t="shared" si="50"/>
        <v>0.94659527701543511</v>
      </c>
      <c r="J151">
        <f t="shared" si="51"/>
        <v>0.37036996400316552</v>
      </c>
      <c r="K151">
        <f t="shared" si="52"/>
        <v>8</v>
      </c>
    </row>
    <row r="152" spans="1:11" x14ac:dyDescent="0.2">
      <c r="A152" t="s">
        <v>42</v>
      </c>
      <c r="B152">
        <f>Processing_index!$S$9</f>
        <v>0.56305678509086798</v>
      </c>
      <c r="C152">
        <f>Processing_index!$T$9</f>
        <v>0.44228904942330344</v>
      </c>
      <c r="D152">
        <f>AVERAGE(Processing_index!$H$9,Processing_index!$I$9)</f>
        <v>0.65538629261937087</v>
      </c>
      <c r="E152">
        <f>Processing_index!$V$9</f>
        <v>0.72541215670263681</v>
      </c>
      <c r="F152">
        <f>Processing_index!$W$9</f>
        <v>0.81207893092012473</v>
      </c>
      <c r="G152">
        <f t="shared" si="48"/>
        <v>0.63964464295126078</v>
      </c>
      <c r="H152">
        <f t="shared" si="49"/>
        <v>0.44228904942330344</v>
      </c>
      <c r="I152">
        <f t="shared" si="50"/>
        <v>1</v>
      </c>
      <c r="J152">
        <f t="shared" si="51"/>
        <v>0.63964464295126078</v>
      </c>
      <c r="K152">
        <f t="shared" si="52"/>
        <v>2</v>
      </c>
    </row>
    <row r="153" spans="1:11" x14ac:dyDescent="0.2">
      <c r="A153" t="s">
        <v>64</v>
      </c>
      <c r="B153">
        <f>Processing_index!$S$10</f>
        <v>0.35071163000096101</v>
      </c>
      <c r="C153">
        <f>Processing_index!$T$10</f>
        <v>0.23499113477492253</v>
      </c>
      <c r="D153">
        <f>AVERAGE(Processing_index!$H$10,Processing_index!$I$10)</f>
        <v>0.57689552943179712</v>
      </c>
      <c r="E153">
        <f>Processing_index!$V$10</f>
        <v>0.55285895708554278</v>
      </c>
      <c r="F153">
        <f>Processing_index!$W$10</f>
        <v>0.62284485524938493</v>
      </c>
      <c r="G153">
        <f t="shared" si="48"/>
        <v>0.46766042130852165</v>
      </c>
      <c r="H153">
        <f t="shared" si="49"/>
        <v>0.23499113477492253</v>
      </c>
      <c r="I153">
        <f t="shared" si="50"/>
        <v>0.943996453909969</v>
      </c>
      <c r="J153">
        <f t="shared" si="51"/>
        <v>0.44146977934928655</v>
      </c>
      <c r="K153">
        <f t="shared" si="52"/>
        <v>6</v>
      </c>
    </row>
    <row r="154" spans="1:11" x14ac:dyDescent="0.2">
      <c r="A154" t="s">
        <v>54</v>
      </c>
      <c r="B154">
        <f>Processing_index!$S$11</f>
        <v>0.69463420725364811</v>
      </c>
      <c r="C154">
        <f>Processing_index!$T$11</f>
        <v>0.39037289108176643</v>
      </c>
      <c r="D154">
        <f>AVERAGE(Processing_index!$H$11,Processing_index!$I$11)</f>
        <v>0.87883343355381838</v>
      </c>
      <c r="E154">
        <f>Processing_index!$V$11</f>
        <v>0.8994049098912259</v>
      </c>
      <c r="F154">
        <f>Processing_index!$W$11</f>
        <v>0.88061902134286851</v>
      </c>
      <c r="G154">
        <f t="shared" si="48"/>
        <v>0.74877289262466551</v>
      </c>
      <c r="H154">
        <f t="shared" si="49"/>
        <v>0.39037289108176643</v>
      </c>
      <c r="I154">
        <f t="shared" si="50"/>
        <v>1</v>
      </c>
      <c r="J154">
        <f t="shared" si="51"/>
        <v>0.74877289262466551</v>
      </c>
      <c r="K154">
        <f t="shared" si="52"/>
        <v>1</v>
      </c>
    </row>
    <row r="155" spans="1:11" x14ac:dyDescent="0.2">
      <c r="A155" t="s">
        <v>56</v>
      </c>
      <c r="B155">
        <f>Processing_index!$S$12</f>
        <v>0.71082122228055045</v>
      </c>
      <c r="C155">
        <f>Processing_index!$T$12</f>
        <v>0.26817044733481826</v>
      </c>
      <c r="D155">
        <f>AVERAGE(Processing_index!$H$12,Processing_index!$I$12)</f>
        <v>0.64916496075084029</v>
      </c>
      <c r="E155">
        <f>Processing_index!$V$12</f>
        <v>0.70371201818939955</v>
      </c>
      <c r="F155">
        <f>Processing_index!$W$12</f>
        <v>0.59637572515620552</v>
      </c>
      <c r="G155">
        <f t="shared" si="48"/>
        <v>0.58564887474236271</v>
      </c>
      <c r="H155">
        <f t="shared" si="49"/>
        <v>0.26817044733481826</v>
      </c>
      <c r="I155">
        <f t="shared" si="50"/>
        <v>0.95726817893392735</v>
      </c>
      <c r="J155">
        <f t="shared" si="51"/>
        <v>0.56062303181932527</v>
      </c>
      <c r="K155">
        <f t="shared" si="52"/>
        <v>4</v>
      </c>
    </row>
    <row r="156" spans="1:11" x14ac:dyDescent="0.2">
      <c r="A156" t="s">
        <v>45</v>
      </c>
      <c r="B156">
        <f>Processing_index!$S$13</f>
        <v>0.57839515879101233</v>
      </c>
      <c r="C156">
        <f>Processing_index!$T$13</f>
        <v>0.37003901547693341</v>
      </c>
      <c r="D156">
        <f>AVERAGE(Processing_index!$H$13,Processing_index!$I$13)</f>
        <v>0.63177514111700606</v>
      </c>
      <c r="E156">
        <f>Processing_index!$V$13</f>
        <v>0.90826853207809577</v>
      </c>
      <c r="F156">
        <f>Processing_index!$W$13</f>
        <v>0.61094534851133464</v>
      </c>
      <c r="G156">
        <f t="shared" si="48"/>
        <v>0.61988463919487646</v>
      </c>
      <c r="H156">
        <f t="shared" si="49"/>
        <v>0.37003901547693341</v>
      </c>
      <c r="I156">
        <f t="shared" si="50"/>
        <v>0.99801560619077334</v>
      </c>
      <c r="J156">
        <f t="shared" si="51"/>
        <v>0.61865454395442343</v>
      </c>
      <c r="K156">
        <f t="shared" si="52"/>
        <v>3</v>
      </c>
    </row>
    <row r="157" spans="1:11" x14ac:dyDescent="0.2">
      <c r="A157" t="s">
        <v>40</v>
      </c>
      <c r="B157">
        <f>Processing_index!$S$14</f>
        <v>0.21832676937677528</v>
      </c>
      <c r="C157">
        <f>Processing_index!$T$14</f>
        <v>0.10718623435529315</v>
      </c>
      <c r="D157">
        <f>AVERAGE(Processing_index!$H$14,Processing_index!$I$14)</f>
        <v>0.3248100763102677</v>
      </c>
      <c r="E157">
        <f>Processing_index!$V$14</f>
        <v>0.45739639864411208</v>
      </c>
      <c r="F157">
        <f>Processing_index!$W$14</f>
        <v>0.30622596278339304</v>
      </c>
      <c r="G157">
        <f t="shared" si="48"/>
        <v>0.2827890882939682</v>
      </c>
      <c r="H157">
        <f t="shared" si="49"/>
        <v>0.10718623435529315</v>
      </c>
      <c r="I157">
        <f t="shared" si="50"/>
        <v>0.89287449374211725</v>
      </c>
      <c r="J157">
        <f t="shared" si="51"/>
        <v>0.25249516404627176</v>
      </c>
      <c r="K157">
        <f t="shared" si="52"/>
        <v>9</v>
      </c>
    </row>
    <row r="158" spans="1:11" x14ac:dyDescent="0.2">
      <c r="A158" t="s">
        <v>130</v>
      </c>
      <c r="B158">
        <f>Processing_index!$S$15</f>
        <v>0.17392266674442028</v>
      </c>
      <c r="C158">
        <f>Processing_index!$T$15</f>
        <v>0.23417283141449302</v>
      </c>
      <c r="D158">
        <f>AVERAGE(Processing_index!$H$15,Processing_index!$I$15)</f>
        <v>0.25416520129204651</v>
      </c>
      <c r="E158">
        <f>Processing_index!$V$15</f>
        <v>0.35816637363864023</v>
      </c>
      <c r="F158">
        <f>Processing_index!$W$15</f>
        <v>0.31068594867071531</v>
      </c>
      <c r="G158">
        <f t="shared" si="48"/>
        <v>0.26622260435206313</v>
      </c>
      <c r="H158">
        <f t="shared" si="49"/>
        <v>0.17392266674442028</v>
      </c>
      <c r="I158">
        <f t="shared" si="50"/>
        <v>0.91956906669776806</v>
      </c>
      <c r="J158">
        <f t="shared" si="51"/>
        <v>0.24481007181787587</v>
      </c>
      <c r="K158">
        <f t="shared" si="52"/>
        <v>10</v>
      </c>
    </row>
    <row r="159" spans="1:11" x14ac:dyDescent="0.2">
      <c r="A159" s="3" t="s">
        <v>242</v>
      </c>
      <c r="B159">
        <f>1-6*SUMPRODUCT((Processing_index!$AF$6:$AF$15-$K$149:$K$158)^2)/(10*(10^2-1))</f>
        <v>0.98787878787878791</v>
      </c>
    </row>
    <row r="160" spans="1:11" x14ac:dyDescent="0.2">
      <c r="A160" s="3" t="s">
        <v>243</v>
      </c>
      <c r="B160">
        <f>SUMPRODUCT(--(Processing_index!$AF$6:$AF$15&lt;&gt;$K$149:$K$158))</f>
        <v>2</v>
      </c>
    </row>
    <row r="162" spans="1:11" x14ac:dyDescent="0.2">
      <c r="A162" s="3" t="s">
        <v>259</v>
      </c>
    </row>
    <row r="163" spans="1:11" x14ac:dyDescent="0.2">
      <c r="A163" s="3" t="s">
        <v>125</v>
      </c>
      <c r="B163" s="3" t="s">
        <v>142</v>
      </c>
      <c r="C163" s="3" t="s">
        <v>156</v>
      </c>
      <c r="D163" s="3" t="s">
        <v>163</v>
      </c>
      <c r="E163" s="3" t="s">
        <v>174</v>
      </c>
      <c r="F163" s="3" t="s">
        <v>183</v>
      </c>
      <c r="G163" s="3" t="s">
        <v>208</v>
      </c>
      <c r="H163" s="3" t="s">
        <v>209</v>
      </c>
      <c r="I163" s="3" t="s">
        <v>211</v>
      </c>
      <c r="J163" s="3" t="s">
        <v>212</v>
      </c>
      <c r="K163" s="3" t="s">
        <v>225</v>
      </c>
    </row>
    <row r="164" spans="1:11" x14ac:dyDescent="0.2">
      <c r="A164" t="s">
        <v>59</v>
      </c>
      <c r="B164">
        <f>Processing_index!$S$6</f>
        <v>0.4430279712764193</v>
      </c>
      <c r="C164">
        <f>Processing_index!$T$6</f>
        <v>0.62846775225416951</v>
      </c>
      <c r="D164">
        <f>AVERAGE(Processing_index!$G$6,Processing_index!$I$6)</f>
        <v>0.38243345887267777</v>
      </c>
      <c r="E164">
        <f>Processing_index!$V$6</f>
        <v>0.77338574140818706</v>
      </c>
      <c r="F164">
        <f>Processing_index!$W$6</f>
        <v>0.52377838567197033</v>
      </c>
      <c r="G164">
        <f t="shared" ref="G164:G173" si="53">AVERAGE(B164:F164)</f>
        <v>0.55021866189668489</v>
      </c>
      <c r="H164">
        <f t="shared" ref="H164:H173" si="54">MIN(B164:F164)</f>
        <v>0.38243345887267777</v>
      </c>
      <c r="I164">
        <f t="shared" ref="I164:I173" si="55">1-alpha*MAX(0,delta-H164)</f>
        <v>1</v>
      </c>
      <c r="J164">
        <f t="shared" ref="J164:J173" si="56">G164*I164</f>
        <v>0.55021866189668489</v>
      </c>
      <c r="K164">
        <f t="shared" ref="K164:K173" si="57">1+COUNTIF($J$164:$J$173,"&gt;"&amp;J164)</f>
        <v>4</v>
      </c>
    </row>
    <row r="165" spans="1:11" x14ac:dyDescent="0.2">
      <c r="A165" t="s">
        <v>51</v>
      </c>
      <c r="B165">
        <f>Processing_index!$S$7</f>
        <v>0.29262275048702674</v>
      </c>
      <c r="C165">
        <f>Processing_index!$T$7</f>
        <v>0.29587345968346318</v>
      </c>
      <c r="D165">
        <f>AVERAGE(Processing_index!$G$7,Processing_index!$I$7)</f>
        <v>0.42313088795349768</v>
      </c>
      <c r="E165">
        <f>Processing_index!$V$7</f>
        <v>0.60598341167382808</v>
      </c>
      <c r="F165">
        <f>Processing_index!$W$7</f>
        <v>0.47884894822063589</v>
      </c>
      <c r="G165">
        <f t="shared" si="53"/>
        <v>0.41929189160369029</v>
      </c>
      <c r="H165">
        <f t="shared" si="54"/>
        <v>0.29262275048702674</v>
      </c>
      <c r="I165">
        <f t="shared" si="55"/>
        <v>0.96704910019481072</v>
      </c>
      <c r="J165">
        <f t="shared" si="56"/>
        <v>0.40547584649432883</v>
      </c>
      <c r="K165">
        <f t="shared" si="57"/>
        <v>7</v>
      </c>
    </row>
    <row r="166" spans="1:11" x14ac:dyDescent="0.2">
      <c r="A166" t="s">
        <v>61</v>
      </c>
      <c r="B166">
        <f>Processing_index!$S$8</f>
        <v>0.44050748201577455</v>
      </c>
      <c r="C166">
        <f>Processing_index!$T$8</f>
        <v>0.24148819253858789</v>
      </c>
      <c r="D166">
        <f>AVERAGE(Processing_index!$G$8,Processing_index!$I$8)</f>
        <v>0.19390147912685451</v>
      </c>
      <c r="E166">
        <f>Processing_index!$V$8</f>
        <v>0.55737050241713504</v>
      </c>
      <c r="F166">
        <f>Processing_index!$W$8</f>
        <v>0.37810403578378637</v>
      </c>
      <c r="G166">
        <f t="shared" si="53"/>
        <v>0.36227433837642764</v>
      </c>
      <c r="H166">
        <f t="shared" si="54"/>
        <v>0.19390147912685451</v>
      </c>
      <c r="I166">
        <f t="shared" si="55"/>
        <v>0.92756059165074178</v>
      </c>
      <c r="J166">
        <f t="shared" si="56"/>
        <v>0.33603139964432027</v>
      </c>
      <c r="K166">
        <f t="shared" si="57"/>
        <v>8</v>
      </c>
    </row>
    <row r="167" spans="1:11" x14ac:dyDescent="0.2">
      <c r="A167" t="s">
        <v>42</v>
      </c>
      <c r="B167">
        <f>Processing_index!$S$9</f>
        <v>0.56305678509086798</v>
      </c>
      <c r="C167">
        <f>Processing_index!$T$9</f>
        <v>0.44228904942330344</v>
      </c>
      <c r="D167">
        <f>AVERAGE(Processing_index!$G$9,Processing_index!$I$9)</f>
        <v>0.69503809554818397</v>
      </c>
      <c r="E167">
        <f>Processing_index!$V$9</f>
        <v>0.72541215670263681</v>
      </c>
      <c r="F167">
        <f>Processing_index!$W$9</f>
        <v>0.81207893092012473</v>
      </c>
      <c r="G167">
        <f t="shared" si="53"/>
        <v>0.64757500353702346</v>
      </c>
      <c r="H167">
        <f t="shared" si="54"/>
        <v>0.44228904942330344</v>
      </c>
      <c r="I167">
        <f t="shared" si="55"/>
        <v>1</v>
      </c>
      <c r="J167">
        <f t="shared" si="56"/>
        <v>0.64757500353702346</v>
      </c>
      <c r="K167">
        <f t="shared" si="57"/>
        <v>2</v>
      </c>
    </row>
    <row r="168" spans="1:11" x14ac:dyDescent="0.2">
      <c r="A168" t="s">
        <v>64</v>
      </c>
      <c r="B168">
        <f>Processing_index!$S$10</f>
        <v>0.35071163000096101</v>
      </c>
      <c r="C168">
        <f>Processing_index!$T$10</f>
        <v>0.23499113477492253</v>
      </c>
      <c r="D168">
        <f>AVERAGE(Processing_index!$G$10,Processing_index!$I$10)</f>
        <v>0.67935664444359944</v>
      </c>
      <c r="E168">
        <f>Processing_index!$V$10</f>
        <v>0.55285895708554278</v>
      </c>
      <c r="F168">
        <f>Processing_index!$W$10</f>
        <v>0.62284485524938493</v>
      </c>
      <c r="G168">
        <f t="shared" si="53"/>
        <v>0.48815264431088218</v>
      </c>
      <c r="H168">
        <f t="shared" si="54"/>
        <v>0.23499113477492253</v>
      </c>
      <c r="I168">
        <f t="shared" si="55"/>
        <v>0.943996453909969</v>
      </c>
      <c r="J168">
        <f t="shared" si="56"/>
        <v>0.46081436519624719</v>
      </c>
      <c r="K168">
        <f t="shared" si="57"/>
        <v>6</v>
      </c>
    </row>
    <row r="169" spans="1:11" x14ac:dyDescent="0.2">
      <c r="A169" t="s">
        <v>54</v>
      </c>
      <c r="B169">
        <f>Processing_index!$S$11</f>
        <v>0.69463420725364811</v>
      </c>
      <c r="C169">
        <f>Processing_index!$T$11</f>
        <v>0.39037289108176643</v>
      </c>
      <c r="D169">
        <f>AVERAGE(Processing_index!$G$11,Processing_index!$I$11)</f>
        <v>0.63545971147884672</v>
      </c>
      <c r="E169">
        <f>Processing_index!$V$11</f>
        <v>0.8994049098912259</v>
      </c>
      <c r="F169">
        <f>Processing_index!$W$11</f>
        <v>0.88061902134286851</v>
      </c>
      <c r="G169">
        <f t="shared" si="53"/>
        <v>0.70009814820967109</v>
      </c>
      <c r="H169">
        <f t="shared" si="54"/>
        <v>0.39037289108176643</v>
      </c>
      <c r="I169">
        <f t="shared" si="55"/>
        <v>1</v>
      </c>
      <c r="J169">
        <f t="shared" si="56"/>
        <v>0.70009814820967109</v>
      </c>
      <c r="K169">
        <f t="shared" si="57"/>
        <v>1</v>
      </c>
    </row>
    <row r="170" spans="1:11" x14ac:dyDescent="0.2">
      <c r="A170" t="s">
        <v>56</v>
      </c>
      <c r="B170">
        <f>Processing_index!$S$12</f>
        <v>0.71082122228055045</v>
      </c>
      <c r="C170">
        <f>Processing_index!$T$12</f>
        <v>0.26817044733481826</v>
      </c>
      <c r="D170">
        <f>AVERAGE(Processing_index!$G$12,Processing_index!$I$12)</f>
        <v>0.49370326190546121</v>
      </c>
      <c r="E170">
        <f>Processing_index!$V$12</f>
        <v>0.70371201818939955</v>
      </c>
      <c r="F170">
        <f>Processing_index!$W$12</f>
        <v>0.59637572515620552</v>
      </c>
      <c r="G170">
        <f t="shared" si="53"/>
        <v>0.55455653497328705</v>
      </c>
      <c r="H170">
        <f t="shared" si="54"/>
        <v>0.26817044733481826</v>
      </c>
      <c r="I170">
        <f t="shared" si="55"/>
        <v>0.95726817893392735</v>
      </c>
      <c r="J170">
        <f t="shared" si="56"/>
        <v>0.53085932434978733</v>
      </c>
      <c r="K170">
        <f t="shared" si="57"/>
        <v>5</v>
      </c>
    </row>
    <row r="171" spans="1:11" x14ac:dyDescent="0.2">
      <c r="A171" t="s">
        <v>45</v>
      </c>
      <c r="B171">
        <f>Processing_index!$S$13</f>
        <v>0.57839515879101233</v>
      </c>
      <c r="C171">
        <f>Processing_index!$T$13</f>
        <v>0.37003901547693341</v>
      </c>
      <c r="D171">
        <f>AVERAGE(Processing_index!$G$13,Processing_index!$I$13)</f>
        <v>0.56124536077059806</v>
      </c>
      <c r="E171">
        <f>Processing_index!$V$13</f>
        <v>0.90826853207809577</v>
      </c>
      <c r="F171">
        <f>Processing_index!$W$13</f>
        <v>0.61094534851133464</v>
      </c>
      <c r="G171">
        <f t="shared" si="53"/>
        <v>0.60577868312559491</v>
      </c>
      <c r="H171">
        <f t="shared" si="54"/>
        <v>0.37003901547693341</v>
      </c>
      <c r="I171">
        <f t="shared" si="55"/>
        <v>0.99801560619077334</v>
      </c>
      <c r="J171">
        <f t="shared" si="56"/>
        <v>0.60457657965703904</v>
      </c>
      <c r="K171">
        <f t="shared" si="57"/>
        <v>3</v>
      </c>
    </row>
    <row r="172" spans="1:11" x14ac:dyDescent="0.2">
      <c r="A172" t="s">
        <v>40</v>
      </c>
      <c r="B172">
        <f>Processing_index!$S$14</f>
        <v>0.21832676937677528</v>
      </c>
      <c r="C172">
        <f>Processing_index!$T$14</f>
        <v>0.10718623435529315</v>
      </c>
      <c r="D172">
        <f>AVERAGE(Processing_index!$G$14,Processing_index!$I$14)</f>
        <v>0.2488392866426547</v>
      </c>
      <c r="E172">
        <f>Processing_index!$V$14</f>
        <v>0.45739639864411208</v>
      </c>
      <c r="F172">
        <f>Processing_index!$W$14</f>
        <v>0.30622596278339304</v>
      </c>
      <c r="G172">
        <f t="shared" si="53"/>
        <v>0.26759493036044563</v>
      </c>
      <c r="H172">
        <f t="shared" si="54"/>
        <v>0.10718623435529315</v>
      </c>
      <c r="I172">
        <f t="shared" si="55"/>
        <v>0.89287449374211725</v>
      </c>
      <c r="J172">
        <f t="shared" si="56"/>
        <v>0.23892868797354</v>
      </c>
      <c r="K172">
        <f t="shared" si="57"/>
        <v>10</v>
      </c>
    </row>
    <row r="173" spans="1:11" x14ac:dyDescent="0.2">
      <c r="A173" t="s">
        <v>130</v>
      </c>
      <c r="B173">
        <f>Processing_index!$S$15</f>
        <v>0.17392266674442028</v>
      </c>
      <c r="C173">
        <f>Processing_index!$T$15</f>
        <v>0.23417283141449302</v>
      </c>
      <c r="D173">
        <f>AVERAGE(Processing_index!$G$15,Processing_index!$I$15)</f>
        <v>0.39333637372154373</v>
      </c>
      <c r="E173">
        <f>Processing_index!$V$15</f>
        <v>0.35816637363864023</v>
      </c>
      <c r="F173">
        <f>Processing_index!$W$15</f>
        <v>0.31068594867071531</v>
      </c>
      <c r="G173">
        <f t="shared" si="53"/>
        <v>0.29405683883796252</v>
      </c>
      <c r="H173">
        <f t="shared" si="54"/>
        <v>0.17392266674442028</v>
      </c>
      <c r="I173">
        <f t="shared" si="55"/>
        <v>0.91956906669776806</v>
      </c>
      <c r="J173">
        <f t="shared" si="56"/>
        <v>0.27040557284632116</v>
      </c>
      <c r="K173">
        <f t="shared" si="57"/>
        <v>9</v>
      </c>
    </row>
    <row r="174" spans="1:11" x14ac:dyDescent="0.2">
      <c r="A174" s="3" t="s">
        <v>242</v>
      </c>
      <c r="B174">
        <f>1-6*SUMPRODUCT((Processing_index!$AF$6:$AF$15-$K$164:$K$173)^2)/(10*(10^2-1))</f>
        <v>0.98787878787878791</v>
      </c>
    </row>
    <row r="175" spans="1:11" x14ac:dyDescent="0.2">
      <c r="A175" s="3" t="s">
        <v>243</v>
      </c>
      <c r="B175">
        <f>SUMPRODUCT(--(Processing_index!$AF$6:$AF$15&lt;&gt;$K$164:$K$173))</f>
        <v>2</v>
      </c>
    </row>
    <row r="177" spans="1:11" x14ac:dyDescent="0.2">
      <c r="A177" s="3" t="s">
        <v>260</v>
      </c>
    </row>
    <row r="178" spans="1:11" x14ac:dyDescent="0.2">
      <c r="A178" s="3" t="s">
        <v>125</v>
      </c>
      <c r="B178" s="3" t="s">
        <v>142</v>
      </c>
      <c r="C178" s="3" t="s">
        <v>156</v>
      </c>
      <c r="D178" s="3" t="s">
        <v>163</v>
      </c>
      <c r="E178" s="3" t="s">
        <v>174</v>
      </c>
      <c r="F178" s="3" t="s">
        <v>183</v>
      </c>
      <c r="G178" s="3" t="s">
        <v>208</v>
      </c>
      <c r="H178" s="3" t="s">
        <v>209</v>
      </c>
      <c r="I178" s="3" t="s">
        <v>211</v>
      </c>
      <c r="J178" s="3" t="s">
        <v>212</v>
      </c>
      <c r="K178" s="3" t="s">
        <v>225</v>
      </c>
    </row>
    <row r="179" spans="1:11" x14ac:dyDescent="0.2">
      <c r="A179" t="s">
        <v>59</v>
      </c>
      <c r="B179">
        <f>Processing_index!$S$6</f>
        <v>0.4430279712764193</v>
      </c>
      <c r="C179">
        <f>Processing_index!$T$6</f>
        <v>0.62846775225416951</v>
      </c>
      <c r="D179">
        <f>AVERAGE(Processing_index!$G$6,Processing_index!$H$6)</f>
        <v>0.36426696811117609</v>
      </c>
      <c r="E179">
        <f>Processing_index!$V$6</f>
        <v>0.77338574140818706</v>
      </c>
      <c r="F179">
        <f>Processing_index!$W$6</f>
        <v>0.52377838567197033</v>
      </c>
      <c r="G179">
        <f t="shared" ref="G179:G188" si="58">AVERAGE(B179:F179)</f>
        <v>0.54658536374438449</v>
      </c>
      <c r="H179">
        <f t="shared" ref="H179:H188" si="59">MIN(B179:F179)</f>
        <v>0.36426696811117609</v>
      </c>
      <c r="I179">
        <f t="shared" ref="I179:I188" si="60">1-alpha*MAX(0,delta-H179)</f>
        <v>0.99570678724447048</v>
      </c>
      <c r="J179">
        <f t="shared" ref="J179:J188" si="61">G179*I179</f>
        <v>0.5442387564887714</v>
      </c>
      <c r="K179">
        <f t="shared" ref="K179:K188" si="62">1+COUNTIF($J$179:$J$188,"&gt;"&amp;J179)</f>
        <v>4</v>
      </c>
    </row>
    <row r="180" spans="1:11" x14ac:dyDescent="0.2">
      <c r="A180" t="s">
        <v>51</v>
      </c>
      <c r="B180">
        <f>Processing_index!$S$7</f>
        <v>0.29262275048702674</v>
      </c>
      <c r="C180">
        <f>Processing_index!$T$7</f>
        <v>0.29587345968346318</v>
      </c>
      <c r="D180">
        <f>AVERAGE(Processing_index!$G$7,Processing_index!$H$7)</f>
        <v>0.64328627215379997</v>
      </c>
      <c r="E180">
        <f>Processing_index!$V$7</f>
        <v>0.60598341167382808</v>
      </c>
      <c r="F180">
        <f>Processing_index!$W$7</f>
        <v>0.47884894822063589</v>
      </c>
      <c r="G180">
        <f t="shared" si="58"/>
        <v>0.46332296844375076</v>
      </c>
      <c r="H180">
        <f t="shared" si="59"/>
        <v>0.29262275048702674</v>
      </c>
      <c r="I180">
        <f t="shared" si="60"/>
        <v>0.96704910019481072</v>
      </c>
      <c r="J180">
        <f t="shared" si="61"/>
        <v>0.44805605973311785</v>
      </c>
      <c r="K180">
        <f t="shared" si="62"/>
        <v>6</v>
      </c>
    </row>
    <row r="181" spans="1:11" x14ac:dyDescent="0.2">
      <c r="A181" t="s">
        <v>61</v>
      </c>
      <c r="B181">
        <f>Processing_index!$S$8</f>
        <v>0.44050748201577455</v>
      </c>
      <c r="C181">
        <f>Processing_index!$T$8</f>
        <v>0.24148819253858789</v>
      </c>
      <c r="D181">
        <f>AVERAGE(Processing_index!$G$8,Processing_index!$H$8)</f>
        <v>0.33011236265607991</v>
      </c>
      <c r="E181">
        <f>Processing_index!$V$8</f>
        <v>0.55737050241713504</v>
      </c>
      <c r="F181">
        <f>Processing_index!$W$8</f>
        <v>0.37810403578378637</v>
      </c>
      <c r="G181">
        <f t="shared" si="58"/>
        <v>0.38951651508227275</v>
      </c>
      <c r="H181">
        <f t="shared" si="59"/>
        <v>0.24148819253858789</v>
      </c>
      <c r="I181">
        <f t="shared" si="60"/>
        <v>0.94659527701543511</v>
      </c>
      <c r="J181">
        <f t="shared" si="61"/>
        <v>0.3687144934963909</v>
      </c>
      <c r="K181">
        <f t="shared" si="62"/>
        <v>8</v>
      </c>
    </row>
    <row r="182" spans="1:11" x14ac:dyDescent="0.2">
      <c r="A182" t="s">
        <v>42</v>
      </c>
      <c r="B182">
        <f>Processing_index!$S$9</f>
        <v>0.56305678509086798</v>
      </c>
      <c r="C182">
        <f>Processing_index!$T$9</f>
        <v>0.44228904942330344</v>
      </c>
      <c r="D182">
        <f>AVERAGE(Processing_index!$G$9,Processing_index!$H$9)</f>
        <v>0.66311230157705581</v>
      </c>
      <c r="E182">
        <f>Processing_index!$V$9</f>
        <v>0.72541215670263681</v>
      </c>
      <c r="F182">
        <f>Processing_index!$W$9</f>
        <v>0.81207893092012473</v>
      </c>
      <c r="G182">
        <f t="shared" si="58"/>
        <v>0.64118984474279783</v>
      </c>
      <c r="H182">
        <f t="shared" si="59"/>
        <v>0.44228904942330344</v>
      </c>
      <c r="I182">
        <f t="shared" si="60"/>
        <v>1</v>
      </c>
      <c r="J182">
        <f t="shared" si="61"/>
        <v>0.64118984474279783</v>
      </c>
      <c r="K182">
        <f t="shared" si="62"/>
        <v>2</v>
      </c>
    </row>
    <row r="183" spans="1:11" x14ac:dyDescent="0.2">
      <c r="A183" t="s">
        <v>64</v>
      </c>
      <c r="B183">
        <f>Processing_index!$S$10</f>
        <v>0.35071163000096101</v>
      </c>
      <c r="C183">
        <f>Processing_index!$T$10</f>
        <v>0.23499113477492253</v>
      </c>
      <c r="D183">
        <f>AVERAGE(Processing_index!$G$10,Processing_index!$H$10)</f>
        <v>0.54388496601811054</v>
      </c>
      <c r="E183">
        <f>Processing_index!$V$10</f>
        <v>0.55285895708554278</v>
      </c>
      <c r="F183">
        <f>Processing_index!$W$10</f>
        <v>0.62284485524938493</v>
      </c>
      <c r="G183">
        <f t="shared" si="58"/>
        <v>0.46105830862578434</v>
      </c>
      <c r="H183">
        <f t="shared" si="59"/>
        <v>0.23499113477492253</v>
      </c>
      <c r="I183">
        <f t="shared" si="60"/>
        <v>0.943996453909969</v>
      </c>
      <c r="J183">
        <f t="shared" si="61"/>
        <v>0.43523740838846847</v>
      </c>
      <c r="K183">
        <f t="shared" si="62"/>
        <v>7</v>
      </c>
    </row>
    <row r="184" spans="1:11" x14ac:dyDescent="0.2">
      <c r="A184" t="s">
        <v>54</v>
      </c>
      <c r="B184">
        <f>Processing_index!$S$11</f>
        <v>0.69463420725364811</v>
      </c>
      <c r="C184">
        <f>Processing_index!$T$11</f>
        <v>0.39037289108176643</v>
      </c>
      <c r="D184">
        <f>AVERAGE(Processing_index!$G$11,Processing_index!$H$11)</f>
        <v>0.75662627792502835</v>
      </c>
      <c r="E184">
        <f>Processing_index!$V$11</f>
        <v>0.8994049098912259</v>
      </c>
      <c r="F184">
        <f>Processing_index!$W$11</f>
        <v>0.88061902134286851</v>
      </c>
      <c r="G184">
        <f t="shared" si="58"/>
        <v>0.72433146149890748</v>
      </c>
      <c r="H184">
        <f t="shared" si="59"/>
        <v>0.39037289108176643</v>
      </c>
      <c r="I184">
        <f t="shared" si="60"/>
        <v>1</v>
      </c>
      <c r="J184">
        <f t="shared" si="61"/>
        <v>0.72433146149890748</v>
      </c>
      <c r="K184">
        <f t="shared" si="62"/>
        <v>1</v>
      </c>
    </row>
    <row r="185" spans="1:11" x14ac:dyDescent="0.2">
      <c r="A185" t="s">
        <v>56</v>
      </c>
      <c r="B185">
        <f>Processing_index!$S$12</f>
        <v>0.71082122228055045</v>
      </c>
      <c r="C185">
        <f>Processing_index!$T$12</f>
        <v>0.26817044733481826</v>
      </c>
      <c r="D185">
        <f>AVERAGE(Processing_index!$G$12,Processing_index!$H$12)</f>
        <v>0.54054310740274358</v>
      </c>
      <c r="E185">
        <f>Processing_index!$V$12</f>
        <v>0.70371201818939955</v>
      </c>
      <c r="F185">
        <f>Processing_index!$W$12</f>
        <v>0.59637572515620552</v>
      </c>
      <c r="G185">
        <f t="shared" si="58"/>
        <v>0.56392450407274342</v>
      </c>
      <c r="H185">
        <f t="shared" si="59"/>
        <v>0.26817044733481826</v>
      </c>
      <c r="I185">
        <f t="shared" si="60"/>
        <v>0.95726817893392735</v>
      </c>
      <c r="J185">
        <f t="shared" si="61"/>
        <v>0.53982698306993315</v>
      </c>
      <c r="K185">
        <f t="shared" si="62"/>
        <v>5</v>
      </c>
    </row>
    <row r="186" spans="1:11" x14ac:dyDescent="0.2">
      <c r="A186" t="s">
        <v>45</v>
      </c>
      <c r="B186">
        <f>Processing_index!$S$13</f>
        <v>0.57839515879101233</v>
      </c>
      <c r="C186">
        <f>Processing_index!$T$13</f>
        <v>0.37003901547693341</v>
      </c>
      <c r="D186">
        <f>AVERAGE(Processing_index!$G$13,Processing_index!$H$13)</f>
        <v>0.68450176065689639</v>
      </c>
      <c r="E186">
        <f>Processing_index!$V$13</f>
        <v>0.90826853207809577</v>
      </c>
      <c r="F186">
        <f>Processing_index!$W$13</f>
        <v>0.61094534851133464</v>
      </c>
      <c r="G186">
        <f t="shared" si="58"/>
        <v>0.63042996310285448</v>
      </c>
      <c r="H186">
        <f t="shared" si="59"/>
        <v>0.37003901547693341</v>
      </c>
      <c r="I186">
        <f t="shared" si="60"/>
        <v>0.99801560619077334</v>
      </c>
      <c r="J186">
        <f t="shared" si="61"/>
        <v>0.62917894178692224</v>
      </c>
      <c r="K186">
        <f t="shared" si="62"/>
        <v>3</v>
      </c>
    </row>
    <row r="187" spans="1:11" x14ac:dyDescent="0.2">
      <c r="A187" t="s">
        <v>40</v>
      </c>
      <c r="B187">
        <f>Processing_index!$S$14</f>
        <v>0.21832676937677528</v>
      </c>
      <c r="C187">
        <f>Processing_index!$T$14</f>
        <v>0.10718623435529315</v>
      </c>
      <c r="D187">
        <f>AVERAGE(Processing_index!$G$14,Processing_index!$H$14)</f>
        <v>0.267375560587719</v>
      </c>
      <c r="E187">
        <f>Processing_index!$V$14</f>
        <v>0.45739639864411208</v>
      </c>
      <c r="F187">
        <f>Processing_index!$W$14</f>
        <v>0.30622596278339304</v>
      </c>
      <c r="G187">
        <f t="shared" si="58"/>
        <v>0.27130218514945847</v>
      </c>
      <c r="H187">
        <f t="shared" si="59"/>
        <v>0.10718623435529315</v>
      </c>
      <c r="I187">
        <f t="shared" si="60"/>
        <v>0.89287449374211725</v>
      </c>
      <c r="J187">
        <f t="shared" si="61"/>
        <v>0.24223880121645289</v>
      </c>
      <c r="K187">
        <f t="shared" si="62"/>
        <v>10</v>
      </c>
    </row>
    <row r="188" spans="1:11" x14ac:dyDescent="0.2">
      <c r="A188" t="s">
        <v>130</v>
      </c>
      <c r="B188">
        <f>Processing_index!$S$15</f>
        <v>0.17392266674442028</v>
      </c>
      <c r="C188">
        <f>Processing_index!$T$15</f>
        <v>0.23417283141449302</v>
      </c>
      <c r="D188">
        <f>AVERAGE(Processing_index!$G$15,Processing_index!$H$15)</f>
        <v>0.45908706308735248</v>
      </c>
      <c r="E188">
        <f>Processing_index!$V$15</f>
        <v>0.35816637363864023</v>
      </c>
      <c r="F188">
        <f>Processing_index!$W$15</f>
        <v>0.31068594867071531</v>
      </c>
      <c r="G188">
        <f t="shared" si="58"/>
        <v>0.30720697671112429</v>
      </c>
      <c r="H188">
        <f t="shared" si="59"/>
        <v>0.17392266674442028</v>
      </c>
      <c r="I188">
        <f t="shared" si="60"/>
        <v>0.91956906669776806</v>
      </c>
      <c r="J188">
        <f t="shared" si="61"/>
        <v>0.28249803285729153</v>
      </c>
      <c r="K188">
        <f t="shared" si="62"/>
        <v>9</v>
      </c>
    </row>
    <row r="189" spans="1:11" x14ac:dyDescent="0.2">
      <c r="A189" s="3" t="s">
        <v>242</v>
      </c>
      <c r="B189">
        <f>1-6*SUMPRODUCT((Processing_index!$AF$6:$AF$15-$K$179:$K$188)^2)/(10*(10^2-1))</f>
        <v>0.97575757575757571</v>
      </c>
    </row>
    <row r="190" spans="1:11" x14ac:dyDescent="0.2">
      <c r="A190" s="3" t="s">
        <v>243</v>
      </c>
      <c r="B190">
        <f>SUMPRODUCT(--(Processing_index!$AF$6:$AF$15&lt;&gt;$K$179:$K$188))</f>
        <v>4</v>
      </c>
    </row>
    <row r="192" spans="1:11" x14ac:dyDescent="0.2">
      <c r="A192" s="3" t="s">
        <v>261</v>
      </c>
    </row>
    <row r="193" spans="1:11" x14ac:dyDescent="0.2">
      <c r="A193" s="3" t="s">
        <v>125</v>
      </c>
      <c r="B193" s="3" t="s">
        <v>142</v>
      </c>
      <c r="C193" s="3" t="s">
        <v>156</v>
      </c>
      <c r="D193" s="3" t="s">
        <v>163</v>
      </c>
      <c r="E193" s="3" t="s">
        <v>174</v>
      </c>
      <c r="F193" s="3" t="s">
        <v>183</v>
      </c>
      <c r="G193" s="3" t="s">
        <v>208</v>
      </c>
      <c r="H193" s="3" t="s">
        <v>209</v>
      </c>
      <c r="I193" s="3" t="s">
        <v>211</v>
      </c>
      <c r="J193" s="3" t="s">
        <v>212</v>
      </c>
      <c r="K193" s="3" t="s">
        <v>225</v>
      </c>
    </row>
    <row r="194" spans="1:11" x14ac:dyDescent="0.2">
      <c r="A194" t="s">
        <v>59</v>
      </c>
      <c r="B194">
        <f>Processing_index!$S$6</f>
        <v>0.4430279712764193</v>
      </c>
      <c r="C194">
        <f>Processing_index!$T$6</f>
        <v>0.62846775225416951</v>
      </c>
      <c r="D194">
        <f>Processing_index!$U$6</f>
        <v>0.34867747763835871</v>
      </c>
      <c r="E194">
        <f>AVERAGE(Processing_index!$K$6)</f>
        <v>0.63287940474519155</v>
      </c>
      <c r="F194">
        <f>Processing_index!$W$6</f>
        <v>0.52377838567197033</v>
      </c>
      <c r="G194">
        <f t="shared" ref="G194:G203" si="63">AVERAGE(B194:F194)</f>
        <v>0.51536619831722197</v>
      </c>
      <c r="H194">
        <f t="shared" ref="H194:H203" si="64">MIN(B194:F194)</f>
        <v>0.34867747763835871</v>
      </c>
      <c r="I194">
        <f t="shared" ref="I194:I203" si="65">1-alpha*MAX(0,delta-H194)</f>
        <v>0.98947099105534353</v>
      </c>
      <c r="J194">
        <f t="shared" ref="J194:J203" si="66">G194*I194</f>
        <v>0.50993990300536629</v>
      </c>
      <c r="K194">
        <f t="shared" ref="K194:K203" si="67">1+COUNTIF($J$194:$J$203,"&gt;"&amp;J194)</f>
        <v>4</v>
      </c>
    </row>
    <row r="195" spans="1:11" x14ac:dyDescent="0.2">
      <c r="A195" t="s">
        <v>51</v>
      </c>
      <c r="B195">
        <f>Processing_index!$S$7</f>
        <v>0.29262275048702674</v>
      </c>
      <c r="C195">
        <f>Processing_index!$T$7</f>
        <v>0.29587345968346318</v>
      </c>
      <c r="D195">
        <f>Processing_index!$U$7</f>
        <v>0.5332085800536488</v>
      </c>
      <c r="E195">
        <f>AVERAGE(Processing_index!$K$7)</f>
        <v>0.47634423697880102</v>
      </c>
      <c r="F195">
        <f>Processing_index!$W$7</f>
        <v>0.47884894822063589</v>
      </c>
      <c r="G195">
        <f t="shared" si="63"/>
        <v>0.41537959508471517</v>
      </c>
      <c r="H195">
        <f t="shared" si="64"/>
        <v>0.29262275048702674</v>
      </c>
      <c r="I195">
        <f t="shared" si="65"/>
        <v>0.96704910019481072</v>
      </c>
      <c r="J195">
        <f t="shared" si="66"/>
        <v>0.40169246366595862</v>
      </c>
      <c r="K195">
        <f t="shared" si="67"/>
        <v>7</v>
      </c>
    </row>
    <row r="196" spans="1:11" x14ac:dyDescent="0.2">
      <c r="A196" t="s">
        <v>61</v>
      </c>
      <c r="B196">
        <f>Processing_index!$S$8</f>
        <v>0.44050748201577455</v>
      </c>
      <c r="C196">
        <f>Processing_index!$T$8</f>
        <v>0.24148819253858789</v>
      </c>
      <c r="D196">
        <f>Processing_index!$U$8</f>
        <v>0.28762351537264413</v>
      </c>
      <c r="E196">
        <f>AVERAGE(Processing_index!$K$8)</f>
        <v>0.26295100379053771</v>
      </c>
      <c r="F196">
        <f>Processing_index!$W$8</f>
        <v>0.37810403578378637</v>
      </c>
      <c r="G196">
        <f t="shared" si="63"/>
        <v>0.32213484590026609</v>
      </c>
      <c r="H196">
        <f t="shared" si="64"/>
        <v>0.24148819253858789</v>
      </c>
      <c r="I196">
        <f t="shared" si="65"/>
        <v>0.94659527701543511</v>
      </c>
      <c r="J196">
        <f t="shared" si="66"/>
        <v>0.30493132369128689</v>
      </c>
      <c r="K196">
        <f t="shared" si="67"/>
        <v>8</v>
      </c>
    </row>
    <row r="197" spans="1:11" x14ac:dyDescent="0.2">
      <c r="A197" t="s">
        <v>42</v>
      </c>
      <c r="B197">
        <f>Processing_index!$S$9</f>
        <v>0.56305678509086798</v>
      </c>
      <c r="C197">
        <f>Processing_index!$T$9</f>
        <v>0.44228904942330344</v>
      </c>
      <c r="D197">
        <f>Processing_index!$U$9</f>
        <v>0.67117889658153684</v>
      </c>
      <c r="E197">
        <f>AVERAGE(Processing_index!$K$9)</f>
        <v>0.59778183349712199</v>
      </c>
      <c r="F197">
        <f>Processing_index!$W$9</f>
        <v>0.81207893092012473</v>
      </c>
      <c r="G197">
        <f t="shared" si="63"/>
        <v>0.61727709910259099</v>
      </c>
      <c r="H197">
        <f t="shared" si="64"/>
        <v>0.44228904942330344</v>
      </c>
      <c r="I197">
        <f t="shared" si="65"/>
        <v>1</v>
      </c>
      <c r="J197">
        <f t="shared" si="66"/>
        <v>0.61727709910259099</v>
      </c>
      <c r="K197">
        <f t="shared" si="67"/>
        <v>3</v>
      </c>
    </row>
    <row r="198" spans="1:11" x14ac:dyDescent="0.2">
      <c r="A198" t="s">
        <v>64</v>
      </c>
      <c r="B198">
        <f>Processing_index!$S$10</f>
        <v>0.35071163000096101</v>
      </c>
      <c r="C198">
        <f>Processing_index!$T$10</f>
        <v>0.23499113477492253</v>
      </c>
      <c r="D198">
        <f>Processing_index!$U$10</f>
        <v>0.60004571329783574</v>
      </c>
      <c r="E198">
        <f>AVERAGE(Processing_index!$K$10)</f>
        <v>0.49262951003790539</v>
      </c>
      <c r="F198">
        <f>Processing_index!$W$10</f>
        <v>0.62284485524938493</v>
      </c>
      <c r="G198">
        <f t="shared" si="63"/>
        <v>0.46024456867220193</v>
      </c>
      <c r="H198">
        <f t="shared" si="64"/>
        <v>0.23499113477492253</v>
      </c>
      <c r="I198">
        <f t="shared" si="65"/>
        <v>0.943996453909969</v>
      </c>
      <c r="J198">
        <f t="shared" si="66"/>
        <v>0.43446924075788185</v>
      </c>
      <c r="K198">
        <f t="shared" si="67"/>
        <v>6</v>
      </c>
    </row>
    <row r="199" spans="1:11" x14ac:dyDescent="0.2">
      <c r="A199" t="s">
        <v>54</v>
      </c>
      <c r="B199">
        <f>Processing_index!$S$11</f>
        <v>0.69463420725364811</v>
      </c>
      <c r="C199">
        <f>Processing_index!$T$11</f>
        <v>0.39037289108176643</v>
      </c>
      <c r="D199">
        <f>Processing_index!$U$11</f>
        <v>0.75697314098589785</v>
      </c>
      <c r="E199">
        <f>AVERAGE(Processing_index!$K$11)</f>
        <v>0.81749262951003776</v>
      </c>
      <c r="F199">
        <f>Processing_index!$W$11</f>
        <v>0.88061902134286851</v>
      </c>
      <c r="G199">
        <f t="shared" si="63"/>
        <v>0.70801837803484369</v>
      </c>
      <c r="H199">
        <f t="shared" si="64"/>
        <v>0.39037289108176643</v>
      </c>
      <c r="I199">
        <f t="shared" si="65"/>
        <v>1</v>
      </c>
      <c r="J199">
        <f t="shared" si="66"/>
        <v>0.70801837803484369</v>
      </c>
      <c r="K199">
        <f t="shared" si="67"/>
        <v>1</v>
      </c>
    </row>
    <row r="200" spans="1:11" x14ac:dyDescent="0.2">
      <c r="A200" t="s">
        <v>56</v>
      </c>
      <c r="B200">
        <f>Processing_index!$S$12</f>
        <v>0.71082122228055045</v>
      </c>
      <c r="C200">
        <f>Processing_index!$T$12</f>
        <v>0.26817044733481826</v>
      </c>
      <c r="D200">
        <f>Processing_index!$U$12</f>
        <v>0.5611371100196817</v>
      </c>
      <c r="E200">
        <f>AVERAGE(Processing_index!$K$12)</f>
        <v>0.4684823810192334</v>
      </c>
      <c r="F200">
        <f>Processing_index!$W$12</f>
        <v>0.59637572515620552</v>
      </c>
      <c r="G200">
        <f t="shared" si="63"/>
        <v>0.52099737716209782</v>
      </c>
      <c r="H200">
        <f t="shared" si="64"/>
        <v>0.26817044733481826</v>
      </c>
      <c r="I200">
        <f t="shared" si="65"/>
        <v>0.95726817893392735</v>
      </c>
      <c r="J200">
        <f t="shared" si="66"/>
        <v>0.49873421046531391</v>
      </c>
      <c r="K200">
        <f t="shared" si="67"/>
        <v>5</v>
      </c>
    </row>
    <row r="201" spans="1:11" x14ac:dyDescent="0.2">
      <c r="A201" t="s">
        <v>45</v>
      </c>
      <c r="B201">
        <f>Processing_index!$S$13</f>
        <v>0.57839515879101233</v>
      </c>
      <c r="C201">
        <f>Processing_index!$T$13</f>
        <v>0.37003901547693341</v>
      </c>
      <c r="D201">
        <f>Processing_index!$U$13</f>
        <v>0.62584075418150009</v>
      </c>
      <c r="E201">
        <f>AVERAGE(Processing_index!$K$13)</f>
        <v>0.92320651410922361</v>
      </c>
      <c r="F201">
        <f>Processing_index!$W$13</f>
        <v>0.61094534851133464</v>
      </c>
      <c r="G201">
        <f t="shared" si="63"/>
        <v>0.62168535821400073</v>
      </c>
      <c r="H201">
        <f t="shared" si="64"/>
        <v>0.37003901547693341</v>
      </c>
      <c r="I201">
        <f t="shared" si="65"/>
        <v>0.99801560619077334</v>
      </c>
      <c r="J201">
        <f t="shared" si="66"/>
        <v>0.620451689637874</v>
      </c>
      <c r="K201">
        <f t="shared" si="67"/>
        <v>2</v>
      </c>
    </row>
    <row r="202" spans="1:11" x14ac:dyDescent="0.2">
      <c r="A202" t="s">
        <v>40</v>
      </c>
      <c r="B202">
        <f>Processing_index!$S$14</f>
        <v>0.21832676937677528</v>
      </c>
      <c r="C202">
        <f>Processing_index!$T$14</f>
        <v>0.10718623435529315</v>
      </c>
      <c r="D202">
        <f>Processing_index!$U$14</f>
        <v>0.28034164118021382</v>
      </c>
      <c r="E202">
        <f>AVERAGE(Processing_index!$K$14)</f>
        <v>0.15892180261125929</v>
      </c>
      <c r="F202">
        <f>Processing_index!$W$14</f>
        <v>0.30622596278339304</v>
      </c>
      <c r="G202">
        <f t="shared" si="63"/>
        <v>0.21420048206138692</v>
      </c>
      <c r="H202">
        <f t="shared" si="64"/>
        <v>0.10718623435529315</v>
      </c>
      <c r="I202">
        <f t="shared" si="65"/>
        <v>0.89287449374211725</v>
      </c>
      <c r="J202">
        <f t="shared" si="66"/>
        <v>0.1912541469798783</v>
      </c>
      <c r="K202">
        <f t="shared" si="67"/>
        <v>10</v>
      </c>
    </row>
    <row r="203" spans="1:11" x14ac:dyDescent="0.2">
      <c r="A203" t="s">
        <v>130</v>
      </c>
      <c r="B203">
        <f>Processing_index!$S$15</f>
        <v>0.17392266674442028</v>
      </c>
      <c r="C203">
        <f>Processing_index!$T$15</f>
        <v>0.23417283141449302</v>
      </c>
      <c r="D203">
        <f>Processing_index!$U$15</f>
        <v>0.36886287936698087</v>
      </c>
      <c r="E203">
        <f>AVERAGE(Processing_index!$K$15)</f>
        <v>0.23725958163695068</v>
      </c>
      <c r="F203">
        <f>Processing_index!$W$15</f>
        <v>0.31068594867071531</v>
      </c>
      <c r="G203">
        <f t="shared" si="63"/>
        <v>0.26498078156671206</v>
      </c>
      <c r="H203">
        <f t="shared" si="64"/>
        <v>0.17392266674442028</v>
      </c>
      <c r="I203">
        <f t="shared" si="65"/>
        <v>0.91956906669776806</v>
      </c>
      <c r="J203">
        <f t="shared" si="66"/>
        <v>0.24366812999814655</v>
      </c>
      <c r="K203">
        <f t="shared" si="67"/>
        <v>9</v>
      </c>
    </row>
    <row r="204" spans="1:11" x14ac:dyDescent="0.2">
      <c r="A204" s="3" t="s">
        <v>242</v>
      </c>
      <c r="B204">
        <f>1-6*SUMPRODUCT((Processing_index!$AF$6:$AF$15-$K$194:$K$203)^2)/(10*(10^2-1))</f>
        <v>0.97575757575757571</v>
      </c>
    </row>
    <row r="205" spans="1:11" x14ac:dyDescent="0.2">
      <c r="A205" s="3" t="s">
        <v>243</v>
      </c>
      <c r="B205">
        <f>SUMPRODUCT(--(Processing_index!$AF$6:$AF$15&lt;&gt;$K$194:$K$203))</f>
        <v>4</v>
      </c>
    </row>
    <row r="207" spans="1:11" x14ac:dyDescent="0.2">
      <c r="A207" s="3" t="s">
        <v>262</v>
      </c>
    </row>
    <row r="208" spans="1:11" x14ac:dyDescent="0.2">
      <c r="A208" s="3" t="s">
        <v>125</v>
      </c>
      <c r="B208" s="3" t="s">
        <v>142</v>
      </c>
      <c r="C208" s="3" t="s">
        <v>156</v>
      </c>
      <c r="D208" s="3" t="s">
        <v>163</v>
      </c>
      <c r="E208" s="3" t="s">
        <v>174</v>
      </c>
      <c r="F208" s="3" t="s">
        <v>183</v>
      </c>
      <c r="G208" s="3" t="s">
        <v>208</v>
      </c>
      <c r="H208" s="3" t="s">
        <v>209</v>
      </c>
      <c r="I208" s="3" t="s">
        <v>211</v>
      </c>
      <c r="J208" s="3" t="s">
        <v>212</v>
      </c>
      <c r="K208" s="3" t="s">
        <v>225</v>
      </c>
    </row>
    <row r="209" spans="1:11" x14ac:dyDescent="0.2">
      <c r="A209" t="s">
        <v>59</v>
      </c>
      <c r="B209">
        <f>Processing_index!$S$6</f>
        <v>0.4430279712764193</v>
      </c>
      <c r="C209">
        <f>Processing_index!$T$6</f>
        <v>0.62846775225416951</v>
      </c>
      <c r="D209">
        <f>Processing_index!$U$6</f>
        <v>0.34867747763835871</v>
      </c>
      <c r="E209">
        <f>AVERAGE(Processing_index!$J$6)</f>
        <v>0.91389207807118256</v>
      </c>
      <c r="F209">
        <f>Processing_index!$W$6</f>
        <v>0.52377838567197033</v>
      </c>
      <c r="G209">
        <f t="shared" ref="G209:G218" si="68">AVERAGE(B209:F209)</f>
        <v>0.57156873298242017</v>
      </c>
      <c r="H209">
        <f t="shared" ref="H209:H218" si="69">MIN(B209:F209)</f>
        <v>0.34867747763835871</v>
      </c>
      <c r="I209">
        <f t="shared" ref="I209:I218" si="70">1-alpha*MAX(0,delta-H209)</f>
        <v>0.98947099105534353</v>
      </c>
      <c r="J209">
        <f t="shared" ref="J209:J218" si="71">G209*I209</f>
        <v>0.56555068068036229</v>
      </c>
      <c r="K209">
        <f t="shared" ref="K209:K218" si="72">1+COUNTIF($J$209:$J$218,"&gt;"&amp;J209)</f>
        <v>5</v>
      </c>
    </row>
    <row r="210" spans="1:11" x14ac:dyDescent="0.2">
      <c r="A210" t="s">
        <v>51</v>
      </c>
      <c r="B210">
        <f>Processing_index!$S$7</f>
        <v>0.29262275048702674</v>
      </c>
      <c r="C210">
        <f>Processing_index!$T$7</f>
        <v>0.29587345968346318</v>
      </c>
      <c r="D210">
        <f>Processing_index!$U$7</f>
        <v>0.5332085800536488</v>
      </c>
      <c r="E210">
        <f>AVERAGE(Processing_index!$J$7)</f>
        <v>0.73562258636885502</v>
      </c>
      <c r="F210">
        <f>Processing_index!$W$7</f>
        <v>0.47884894822063589</v>
      </c>
      <c r="G210">
        <f t="shared" si="68"/>
        <v>0.46723526496272594</v>
      </c>
      <c r="H210">
        <f t="shared" si="69"/>
        <v>0.29262275048702674</v>
      </c>
      <c r="I210">
        <f t="shared" si="70"/>
        <v>0.96704910019481072</v>
      </c>
      <c r="J210">
        <f t="shared" si="71"/>
        <v>0.45183944256148811</v>
      </c>
      <c r="K210">
        <f t="shared" si="72"/>
        <v>7</v>
      </c>
    </row>
    <row r="211" spans="1:11" x14ac:dyDescent="0.2">
      <c r="A211" t="s">
        <v>61</v>
      </c>
      <c r="B211">
        <f>Processing_index!$S$8</f>
        <v>0.44050748201577455</v>
      </c>
      <c r="C211">
        <f>Processing_index!$T$8</f>
        <v>0.24148819253858789</v>
      </c>
      <c r="D211">
        <f>Processing_index!$U$8</f>
        <v>0.28762351537264413</v>
      </c>
      <c r="E211">
        <f>AVERAGE(Processing_index!$J$8)</f>
        <v>0.85179000104373237</v>
      </c>
      <c r="F211">
        <f>Processing_index!$W$8</f>
        <v>0.37810403578378637</v>
      </c>
      <c r="G211">
        <f t="shared" si="68"/>
        <v>0.43990264535090501</v>
      </c>
      <c r="H211">
        <f t="shared" si="69"/>
        <v>0.24148819253858789</v>
      </c>
      <c r="I211">
        <f t="shared" si="70"/>
        <v>0.94659527701543511</v>
      </c>
      <c r="J211">
        <f t="shared" si="71"/>
        <v>0.41640976643576261</v>
      </c>
      <c r="K211">
        <f t="shared" si="72"/>
        <v>8</v>
      </c>
    </row>
    <row r="212" spans="1:11" x14ac:dyDescent="0.2">
      <c r="A212" t="s">
        <v>42</v>
      </c>
      <c r="B212">
        <f>Processing_index!$S$9</f>
        <v>0.56305678509086798</v>
      </c>
      <c r="C212">
        <f>Processing_index!$T$9</f>
        <v>0.44228904942330344</v>
      </c>
      <c r="D212">
        <f>Processing_index!$U$9</f>
        <v>0.67117889658153684</v>
      </c>
      <c r="E212">
        <f>AVERAGE(Processing_index!$J$9)</f>
        <v>0.85304247990815152</v>
      </c>
      <c r="F212">
        <f>Processing_index!$W$9</f>
        <v>0.81207893092012473</v>
      </c>
      <c r="G212">
        <f t="shared" si="68"/>
        <v>0.66832922838479691</v>
      </c>
      <c r="H212">
        <f t="shared" si="69"/>
        <v>0.44228904942330344</v>
      </c>
      <c r="I212">
        <f t="shared" si="70"/>
        <v>1</v>
      </c>
      <c r="J212">
        <f t="shared" si="71"/>
        <v>0.66832922838479691</v>
      </c>
      <c r="K212">
        <f t="shared" si="72"/>
        <v>2</v>
      </c>
    </row>
    <row r="213" spans="1:11" x14ac:dyDescent="0.2">
      <c r="A213" t="s">
        <v>64</v>
      </c>
      <c r="B213">
        <f>Processing_index!$S$10</f>
        <v>0.35071163000096101</v>
      </c>
      <c r="C213">
        <f>Processing_index!$T$10</f>
        <v>0.23499113477492253</v>
      </c>
      <c r="D213">
        <f>Processing_index!$U$10</f>
        <v>0.60004571329783574</v>
      </c>
      <c r="E213">
        <f>AVERAGE(Processing_index!$J$10)</f>
        <v>0.61308840413318022</v>
      </c>
      <c r="F213">
        <f>Processing_index!$W$10</f>
        <v>0.62284485524938493</v>
      </c>
      <c r="G213">
        <f t="shared" si="68"/>
        <v>0.48433634749125687</v>
      </c>
      <c r="H213">
        <f t="shared" si="69"/>
        <v>0.23499113477492253</v>
      </c>
      <c r="I213">
        <f t="shared" si="70"/>
        <v>0.943996453909969</v>
      </c>
      <c r="J213">
        <f t="shared" si="71"/>
        <v>0.457211794531453</v>
      </c>
      <c r="K213">
        <f t="shared" si="72"/>
        <v>6</v>
      </c>
    </row>
    <row r="214" spans="1:11" x14ac:dyDescent="0.2">
      <c r="A214" t="s">
        <v>54</v>
      </c>
      <c r="B214">
        <f>Processing_index!$S$11</f>
        <v>0.69463420725364811</v>
      </c>
      <c r="C214">
        <f>Processing_index!$T$11</f>
        <v>0.39037289108176643</v>
      </c>
      <c r="D214">
        <f>Processing_index!$U$11</f>
        <v>0.75697314098589785</v>
      </c>
      <c r="E214">
        <f>AVERAGE(Processing_index!$J$11)</f>
        <v>0.98131719027241404</v>
      </c>
      <c r="F214">
        <f>Processing_index!$W$11</f>
        <v>0.88061902134286851</v>
      </c>
      <c r="G214">
        <f t="shared" si="68"/>
        <v>0.74078329018731903</v>
      </c>
      <c r="H214">
        <f t="shared" si="69"/>
        <v>0.39037289108176643</v>
      </c>
      <c r="I214">
        <f t="shared" si="70"/>
        <v>1</v>
      </c>
      <c r="J214">
        <f t="shared" si="71"/>
        <v>0.74078329018731903</v>
      </c>
      <c r="K214">
        <f t="shared" si="72"/>
        <v>1</v>
      </c>
    </row>
    <row r="215" spans="1:11" x14ac:dyDescent="0.2">
      <c r="A215" t="s">
        <v>56</v>
      </c>
      <c r="B215">
        <f>Processing_index!$S$12</f>
        <v>0.71082122228055045</v>
      </c>
      <c r="C215">
        <f>Processing_index!$T$12</f>
        <v>0.26817044733481826</v>
      </c>
      <c r="D215">
        <f>Processing_index!$U$12</f>
        <v>0.5611371100196817</v>
      </c>
      <c r="E215">
        <f>AVERAGE(Processing_index!$J$12)</f>
        <v>0.93894165535956575</v>
      </c>
      <c r="F215">
        <f>Processing_index!$W$12</f>
        <v>0.59637572515620552</v>
      </c>
      <c r="G215">
        <f t="shared" si="68"/>
        <v>0.61508923203016441</v>
      </c>
      <c r="H215">
        <f t="shared" si="69"/>
        <v>0.26817044733481826</v>
      </c>
      <c r="I215">
        <f t="shared" si="70"/>
        <v>0.95726817893392735</v>
      </c>
      <c r="J215">
        <f t="shared" si="71"/>
        <v>0.58880534902738335</v>
      </c>
      <c r="K215">
        <f t="shared" si="72"/>
        <v>4</v>
      </c>
    </row>
    <row r="216" spans="1:11" x14ac:dyDescent="0.2">
      <c r="A216" t="s">
        <v>45</v>
      </c>
      <c r="B216">
        <f>Processing_index!$S$13</f>
        <v>0.57839515879101233</v>
      </c>
      <c r="C216">
        <f>Processing_index!$T$13</f>
        <v>0.37003901547693341</v>
      </c>
      <c r="D216">
        <f>Processing_index!$U$13</f>
        <v>0.62584075418150009</v>
      </c>
      <c r="E216">
        <f>AVERAGE(Processing_index!$J$13)</f>
        <v>0.89333055004696793</v>
      </c>
      <c r="F216">
        <f>Processing_index!$W$13</f>
        <v>0.61094534851133464</v>
      </c>
      <c r="G216">
        <f t="shared" si="68"/>
        <v>0.61571016540154966</v>
      </c>
      <c r="H216">
        <f t="shared" si="69"/>
        <v>0.37003901547693341</v>
      </c>
      <c r="I216">
        <f t="shared" si="70"/>
        <v>0.99801560619077334</v>
      </c>
      <c r="J216">
        <f t="shared" si="71"/>
        <v>0.61448835396104895</v>
      </c>
      <c r="K216">
        <f t="shared" si="72"/>
        <v>3</v>
      </c>
    </row>
    <row r="217" spans="1:11" x14ac:dyDescent="0.2">
      <c r="A217" t="s">
        <v>40</v>
      </c>
      <c r="B217">
        <f>Processing_index!$S$14</f>
        <v>0.21832676937677528</v>
      </c>
      <c r="C217">
        <f>Processing_index!$T$14</f>
        <v>0.10718623435529315</v>
      </c>
      <c r="D217">
        <f>Processing_index!$U$14</f>
        <v>0.28034164118021382</v>
      </c>
      <c r="E217">
        <f>AVERAGE(Processing_index!$J$14)</f>
        <v>0.75587099467696484</v>
      </c>
      <c r="F217">
        <f>Processing_index!$W$14</f>
        <v>0.30622596278339304</v>
      </c>
      <c r="G217">
        <f t="shared" si="68"/>
        <v>0.33359032047452802</v>
      </c>
      <c r="H217">
        <f t="shared" si="69"/>
        <v>0.10718623435529315</v>
      </c>
      <c r="I217">
        <f t="shared" si="70"/>
        <v>0.89287449374211725</v>
      </c>
      <c r="J217">
        <f t="shared" si="71"/>
        <v>0.29785428851096485</v>
      </c>
      <c r="K217">
        <f t="shared" si="72"/>
        <v>9</v>
      </c>
    </row>
    <row r="218" spans="1:11" x14ac:dyDescent="0.2">
      <c r="A218" t="s">
        <v>130</v>
      </c>
      <c r="B218">
        <f>Processing_index!$S$15</f>
        <v>0.17392266674442028</v>
      </c>
      <c r="C218">
        <f>Processing_index!$T$15</f>
        <v>0.23417283141449302</v>
      </c>
      <c r="D218">
        <f>Processing_index!$U$15</f>
        <v>0.36886287936698087</v>
      </c>
      <c r="E218">
        <f>AVERAGE(Processing_index!$J$15)</f>
        <v>0.47907316564032981</v>
      </c>
      <c r="F218">
        <f>Processing_index!$W$15</f>
        <v>0.31068594867071531</v>
      </c>
      <c r="G218">
        <f t="shared" si="68"/>
        <v>0.31334349836738784</v>
      </c>
      <c r="H218">
        <f t="shared" si="69"/>
        <v>0.17392266674442028</v>
      </c>
      <c r="I218">
        <f t="shared" si="70"/>
        <v>0.91956906669776806</v>
      </c>
      <c r="J218">
        <f t="shared" si="71"/>
        <v>0.28814098834951246</v>
      </c>
      <c r="K218">
        <f t="shared" si="72"/>
        <v>10</v>
      </c>
    </row>
    <row r="219" spans="1:11" x14ac:dyDescent="0.2">
      <c r="A219" s="3" t="s">
        <v>242</v>
      </c>
      <c r="B219">
        <f>1-6*SUMPRODUCT((Processing_index!$AF$6:$AF$15-$K$209:$K$218)^2)/(10*(10^2-1))</f>
        <v>0.98787878787878791</v>
      </c>
    </row>
    <row r="220" spans="1:11" x14ac:dyDescent="0.2">
      <c r="A220" s="3" t="s">
        <v>243</v>
      </c>
      <c r="B220">
        <f>SUMPRODUCT(--(Processing_index!$AF$6:$AF$15&lt;&gt;$K$209:$K$218))</f>
        <v>2</v>
      </c>
    </row>
    <row r="222" spans="1:11" x14ac:dyDescent="0.2">
      <c r="A222" s="3" t="s">
        <v>263</v>
      </c>
    </row>
    <row r="223" spans="1:11" x14ac:dyDescent="0.2">
      <c r="A223" s="3" t="s">
        <v>125</v>
      </c>
      <c r="B223" s="3" t="s">
        <v>142</v>
      </c>
      <c r="C223" s="3" t="s">
        <v>156</v>
      </c>
      <c r="D223" s="3" t="s">
        <v>163</v>
      </c>
      <c r="E223" s="3" t="s">
        <v>174</v>
      </c>
      <c r="F223" s="3" t="s">
        <v>183</v>
      </c>
      <c r="G223" s="3" t="s">
        <v>208</v>
      </c>
      <c r="H223" s="3" t="s">
        <v>209</v>
      </c>
      <c r="I223" s="3" t="s">
        <v>211</v>
      </c>
      <c r="J223" s="3" t="s">
        <v>212</v>
      </c>
      <c r="K223" s="3" t="s">
        <v>225</v>
      </c>
    </row>
    <row r="224" spans="1:11" x14ac:dyDescent="0.2">
      <c r="A224" t="s">
        <v>59</v>
      </c>
      <c r="B224">
        <f>Processing_index!$S$6</f>
        <v>0.4430279712764193</v>
      </c>
      <c r="C224">
        <f>Processing_index!$T$6</f>
        <v>0.62846775225416951</v>
      </c>
      <c r="D224">
        <f>Processing_index!$U$6</f>
        <v>0.34867747763835871</v>
      </c>
      <c r="E224">
        <f>Processing_index!$V$6</f>
        <v>0.77338574140818706</v>
      </c>
      <c r="F224">
        <f>AVERAGE(Processing_index!$M$6,Processing_index!$N$6)</f>
        <v>0.63140712834718371</v>
      </c>
      <c r="G224">
        <f t="shared" ref="G224:G233" si="73">AVERAGE(B224:F224)</f>
        <v>0.5649932141848637</v>
      </c>
      <c r="H224">
        <f t="shared" ref="H224:H233" si="74">MIN(B224:F224)</f>
        <v>0.34867747763835871</v>
      </c>
      <c r="I224">
        <f t="shared" ref="I224:I233" si="75">1-alpha*MAX(0,delta-H224)</f>
        <v>0.98947099105534353</v>
      </c>
      <c r="J224">
        <f t="shared" ref="J224:J233" si="76">G224*I224</f>
        <v>0.55904439557904106</v>
      </c>
      <c r="K224">
        <f t="shared" ref="K224:K233" si="77">1+COUNTIF($J$224:$J$233,"&gt;"&amp;J224)</f>
        <v>4</v>
      </c>
    </row>
    <row r="225" spans="1:11" x14ac:dyDescent="0.2">
      <c r="A225" t="s">
        <v>51</v>
      </c>
      <c r="B225">
        <f>Processing_index!$S$7</f>
        <v>0.29262275048702674</v>
      </c>
      <c r="C225">
        <f>Processing_index!$T$7</f>
        <v>0.29587345968346318</v>
      </c>
      <c r="D225">
        <f>Processing_index!$U$7</f>
        <v>0.5332085800536488</v>
      </c>
      <c r="E225">
        <f>Processing_index!$V$7</f>
        <v>0.60598341167382808</v>
      </c>
      <c r="F225">
        <f>AVERAGE(Processing_index!$M$7,Processing_index!$N$7)</f>
        <v>0.50332165384220784</v>
      </c>
      <c r="G225">
        <f t="shared" si="73"/>
        <v>0.446201971148035</v>
      </c>
      <c r="H225">
        <f t="shared" si="74"/>
        <v>0.29262275048702674</v>
      </c>
      <c r="I225">
        <f t="shared" si="75"/>
        <v>0.96704910019481072</v>
      </c>
      <c r="J225">
        <f t="shared" si="76"/>
        <v>0.43149921470385816</v>
      </c>
      <c r="K225">
        <f t="shared" si="77"/>
        <v>7</v>
      </c>
    </row>
    <row r="226" spans="1:11" x14ac:dyDescent="0.2">
      <c r="A226" t="s">
        <v>61</v>
      </c>
      <c r="B226">
        <f>Processing_index!$S$8</f>
        <v>0.44050748201577455</v>
      </c>
      <c r="C226">
        <f>Processing_index!$T$8</f>
        <v>0.24148819253858789</v>
      </c>
      <c r="D226">
        <f>Processing_index!$U$8</f>
        <v>0.28762351537264413</v>
      </c>
      <c r="E226">
        <f>Processing_index!$V$8</f>
        <v>0.55737050241713504</v>
      </c>
      <c r="F226">
        <f>AVERAGE(Processing_index!$M$8,Processing_index!$N$8)</f>
        <v>0.39794383502616187</v>
      </c>
      <c r="G226">
        <f t="shared" si="73"/>
        <v>0.38498670547406066</v>
      </c>
      <c r="H226">
        <f t="shared" si="74"/>
        <v>0.24148819253858789</v>
      </c>
      <c r="I226">
        <f t="shared" si="75"/>
        <v>0.94659527701543511</v>
      </c>
      <c r="J226">
        <f t="shared" si="76"/>
        <v>0.3644265971154782</v>
      </c>
      <c r="K226">
        <f t="shared" si="77"/>
        <v>8</v>
      </c>
    </row>
    <row r="227" spans="1:11" x14ac:dyDescent="0.2">
      <c r="A227" t="s">
        <v>42</v>
      </c>
      <c r="B227">
        <f>Processing_index!$S$9</f>
        <v>0.56305678509086798</v>
      </c>
      <c r="C227">
        <f>Processing_index!$T$9</f>
        <v>0.44228904942330344</v>
      </c>
      <c r="D227">
        <f>Processing_index!$U$9</f>
        <v>0.67117889658153684</v>
      </c>
      <c r="E227">
        <f>Processing_index!$V$9</f>
        <v>0.72541215670263681</v>
      </c>
      <c r="F227">
        <f>AVERAGE(Processing_index!$M$9,Processing_index!$N$9)</f>
        <v>0.88869717451523544</v>
      </c>
      <c r="G227">
        <f t="shared" si="73"/>
        <v>0.6581268124627162</v>
      </c>
      <c r="H227">
        <f t="shared" si="74"/>
        <v>0.44228904942330344</v>
      </c>
      <c r="I227">
        <f t="shared" si="75"/>
        <v>1</v>
      </c>
      <c r="J227">
        <f t="shared" si="76"/>
        <v>0.6581268124627162</v>
      </c>
      <c r="K227">
        <f t="shared" si="77"/>
        <v>2</v>
      </c>
    </row>
    <row r="228" spans="1:11" x14ac:dyDescent="0.2">
      <c r="A228" t="s">
        <v>64</v>
      </c>
      <c r="B228">
        <f>Processing_index!$S$10</f>
        <v>0.35071163000096101</v>
      </c>
      <c r="C228">
        <f>Processing_index!$T$10</f>
        <v>0.23499113477492253</v>
      </c>
      <c r="D228">
        <f>Processing_index!$U$10</f>
        <v>0.60004571329783574</v>
      </c>
      <c r="E228">
        <f>Processing_index!$V$10</f>
        <v>0.55285895708554278</v>
      </c>
      <c r="F228">
        <f>AVERAGE(Processing_index!$M$10,Processing_index!$N$10)</f>
        <v>0.59085892274546015</v>
      </c>
      <c r="G228">
        <f t="shared" si="73"/>
        <v>0.4658932715809444</v>
      </c>
      <c r="H228">
        <f t="shared" si="74"/>
        <v>0.23499113477492253</v>
      </c>
      <c r="I228">
        <f t="shared" si="75"/>
        <v>0.943996453909969</v>
      </c>
      <c r="J228">
        <f t="shared" si="76"/>
        <v>0.43980159627292564</v>
      </c>
      <c r="K228">
        <f t="shared" si="77"/>
        <v>6</v>
      </c>
    </row>
    <row r="229" spans="1:11" x14ac:dyDescent="0.2">
      <c r="A229" t="s">
        <v>54</v>
      </c>
      <c r="B229">
        <f>Processing_index!$S$11</f>
        <v>0.69463420725364811</v>
      </c>
      <c r="C229">
        <f>Processing_index!$T$11</f>
        <v>0.39037289108176643</v>
      </c>
      <c r="D229">
        <f>Processing_index!$U$11</f>
        <v>0.75697314098589785</v>
      </c>
      <c r="E229">
        <f>Processing_index!$V$11</f>
        <v>0.8994049098912259</v>
      </c>
      <c r="F229">
        <f>AVERAGE(Processing_index!$M$11,Processing_index!$N$11)</f>
        <v>0.83507644198214837</v>
      </c>
      <c r="G229">
        <f t="shared" si="73"/>
        <v>0.71529231823893746</v>
      </c>
      <c r="H229">
        <f t="shared" si="74"/>
        <v>0.39037289108176643</v>
      </c>
      <c r="I229">
        <f t="shared" si="75"/>
        <v>1</v>
      </c>
      <c r="J229">
        <f t="shared" si="76"/>
        <v>0.71529231823893746</v>
      </c>
      <c r="K229">
        <f t="shared" si="77"/>
        <v>1</v>
      </c>
    </row>
    <row r="230" spans="1:11" x14ac:dyDescent="0.2">
      <c r="A230" t="s">
        <v>56</v>
      </c>
      <c r="B230">
        <f>Processing_index!$S$12</f>
        <v>0.71082122228055045</v>
      </c>
      <c r="C230">
        <f>Processing_index!$T$12</f>
        <v>0.26817044733481826</v>
      </c>
      <c r="D230">
        <f>Processing_index!$U$12</f>
        <v>0.5611371100196817</v>
      </c>
      <c r="E230">
        <f>Processing_index!$V$12</f>
        <v>0.70371201818939955</v>
      </c>
      <c r="F230">
        <f>AVERAGE(Processing_index!$M$12,Processing_index!$N$12)</f>
        <v>0.55798802503334366</v>
      </c>
      <c r="G230">
        <f t="shared" si="73"/>
        <v>0.56036576457155873</v>
      </c>
      <c r="H230">
        <f t="shared" si="74"/>
        <v>0.26817044733481826</v>
      </c>
      <c r="I230">
        <f t="shared" si="75"/>
        <v>0.95726817893392735</v>
      </c>
      <c r="J230">
        <f t="shared" si="76"/>
        <v>0.53642031498833387</v>
      </c>
      <c r="K230">
        <f t="shared" si="77"/>
        <v>5</v>
      </c>
    </row>
    <row r="231" spans="1:11" x14ac:dyDescent="0.2">
      <c r="A231" t="s">
        <v>45</v>
      </c>
      <c r="B231">
        <f>Processing_index!$S$13</f>
        <v>0.57839515879101233</v>
      </c>
      <c r="C231">
        <f>Processing_index!$T$13</f>
        <v>0.37003901547693341</v>
      </c>
      <c r="D231">
        <f>Processing_index!$U$13</f>
        <v>0.62584075418150009</v>
      </c>
      <c r="E231">
        <f>Processing_index!$V$13</f>
        <v>0.90826853207809577</v>
      </c>
      <c r="F231">
        <f>AVERAGE(Processing_index!$M$13,Processing_index!$N$13)</f>
        <v>0.53892606135221088</v>
      </c>
      <c r="G231">
        <f t="shared" si="73"/>
        <v>0.60429390437595054</v>
      </c>
      <c r="H231">
        <f t="shared" si="74"/>
        <v>0.37003901547693341</v>
      </c>
      <c r="I231">
        <f t="shared" si="75"/>
        <v>0.99801560619077334</v>
      </c>
      <c r="J231">
        <f t="shared" si="76"/>
        <v>0.60309474729315349</v>
      </c>
      <c r="K231">
        <f t="shared" si="77"/>
        <v>3</v>
      </c>
    </row>
    <row r="232" spans="1:11" x14ac:dyDescent="0.2">
      <c r="A232" t="s">
        <v>40</v>
      </c>
      <c r="B232">
        <f>Processing_index!$S$14</f>
        <v>0.21832676937677528</v>
      </c>
      <c r="C232">
        <f>Processing_index!$T$14</f>
        <v>0.10718623435529315</v>
      </c>
      <c r="D232">
        <f>Processing_index!$U$14</f>
        <v>0.28034164118021382</v>
      </c>
      <c r="E232">
        <f>Processing_index!$V$14</f>
        <v>0.45739639864411208</v>
      </c>
      <c r="F232">
        <f>AVERAGE(Processing_index!$M$14,Processing_index!$N$14)</f>
        <v>0.34068942649020212</v>
      </c>
      <c r="G232">
        <f t="shared" si="73"/>
        <v>0.28078809400931926</v>
      </c>
      <c r="H232">
        <f t="shared" si="74"/>
        <v>0.10718623435529315</v>
      </c>
      <c r="I232">
        <f t="shared" si="75"/>
        <v>0.89287449374211725</v>
      </c>
      <c r="J232">
        <f t="shared" si="76"/>
        <v>0.25070852728738496</v>
      </c>
      <c r="K232">
        <f t="shared" si="77"/>
        <v>10</v>
      </c>
    </row>
    <row r="233" spans="1:11" x14ac:dyDescent="0.2">
      <c r="A233" t="s">
        <v>130</v>
      </c>
      <c r="B233">
        <f>Processing_index!$S$15</f>
        <v>0.17392266674442028</v>
      </c>
      <c r="C233">
        <f>Processing_index!$T$15</f>
        <v>0.23417283141449302</v>
      </c>
      <c r="D233">
        <f>Processing_index!$U$15</f>
        <v>0.36886287936698087</v>
      </c>
      <c r="E233">
        <f>Processing_index!$V$15</f>
        <v>0.35816637363864023</v>
      </c>
      <c r="F233">
        <f>AVERAGE(Processing_index!$M$15,Processing_index!$N$15)</f>
        <v>0.33098069149481896</v>
      </c>
      <c r="G233">
        <f t="shared" si="73"/>
        <v>0.29322108853187068</v>
      </c>
      <c r="H233">
        <f t="shared" si="74"/>
        <v>0.17392266674442028</v>
      </c>
      <c r="I233">
        <f t="shared" si="75"/>
        <v>0.91956906669776806</v>
      </c>
      <c r="J233">
        <f t="shared" si="76"/>
        <v>0.26963704271735595</v>
      </c>
      <c r="K233">
        <f t="shared" si="77"/>
        <v>9</v>
      </c>
    </row>
    <row r="234" spans="1:11" x14ac:dyDescent="0.2">
      <c r="A234" s="3" t="s">
        <v>242</v>
      </c>
      <c r="B234">
        <f>1-6*SUMPRODUCT((Processing_index!$AF$6:$AF$15-$K$224:$K$233)^2)/(10*(10^2-1))</f>
        <v>0.98787878787878791</v>
      </c>
    </row>
    <row r="235" spans="1:11" x14ac:dyDescent="0.2">
      <c r="A235" s="3" t="s">
        <v>243</v>
      </c>
      <c r="B235">
        <f>SUMPRODUCT(--(Processing_index!$AF$6:$AF$15&lt;&gt;$K$224:$K$233))</f>
        <v>2</v>
      </c>
    </row>
    <row r="237" spans="1:11" x14ac:dyDescent="0.2">
      <c r="A237" s="3" t="s">
        <v>264</v>
      </c>
    </row>
    <row r="238" spans="1:11" x14ac:dyDescent="0.2">
      <c r="A238" s="3" t="s">
        <v>125</v>
      </c>
      <c r="B238" s="3" t="s">
        <v>142</v>
      </c>
      <c r="C238" s="3" t="s">
        <v>156</v>
      </c>
      <c r="D238" s="3" t="s">
        <v>163</v>
      </c>
      <c r="E238" s="3" t="s">
        <v>174</v>
      </c>
      <c r="F238" s="3" t="s">
        <v>183</v>
      </c>
      <c r="G238" s="3" t="s">
        <v>208</v>
      </c>
      <c r="H238" s="3" t="s">
        <v>209</v>
      </c>
      <c r="I238" s="3" t="s">
        <v>211</v>
      </c>
      <c r="J238" s="3" t="s">
        <v>212</v>
      </c>
      <c r="K238" s="3" t="s">
        <v>225</v>
      </c>
    </row>
    <row r="239" spans="1:11" x14ac:dyDescent="0.2">
      <c r="A239" t="s">
        <v>59</v>
      </c>
      <c r="B239">
        <f>Processing_index!$S$6</f>
        <v>0.4430279712764193</v>
      </c>
      <c r="C239">
        <f>Processing_index!$T$6</f>
        <v>0.62846775225416951</v>
      </c>
      <c r="D239">
        <f>Processing_index!$U$6</f>
        <v>0.34867747763835871</v>
      </c>
      <c r="E239">
        <f>Processing_index!$V$6</f>
        <v>0.77338574140818706</v>
      </c>
      <c r="F239">
        <f>AVERAGE(Processing_index!$L$6,Processing_index!$N$6)</f>
        <v>0.49250045016077171</v>
      </c>
      <c r="G239">
        <f t="shared" ref="G239:G248" si="78">AVERAGE(B239:F239)</f>
        <v>0.53721187854758123</v>
      </c>
      <c r="H239">
        <f t="shared" ref="H239:H248" si="79">MIN(B239:F239)</f>
        <v>0.34867747763835871</v>
      </c>
      <c r="I239">
        <f t="shared" ref="I239:I248" si="80">1-alpha*MAX(0,delta-H239)</f>
        <v>0.98947099105534353</v>
      </c>
      <c r="J239">
        <f t="shared" ref="J239:J248" si="81">G239*I239</f>
        <v>0.53155556987317809</v>
      </c>
      <c r="K239">
        <f t="shared" ref="K239:K248" si="82">1+COUNTIF($J$239:$J$248,"&gt;"&amp;J239)</f>
        <v>5</v>
      </c>
    </row>
    <row r="240" spans="1:11" x14ac:dyDescent="0.2">
      <c r="A240" t="s">
        <v>51</v>
      </c>
      <c r="B240">
        <f>Processing_index!$S$7</f>
        <v>0.29262275048702674</v>
      </c>
      <c r="C240">
        <f>Processing_index!$T$7</f>
        <v>0.29587345968346318</v>
      </c>
      <c r="D240">
        <f>Processing_index!$U$7</f>
        <v>0.5332085800536488</v>
      </c>
      <c r="E240">
        <f>Processing_index!$V$7</f>
        <v>0.60598341167382808</v>
      </c>
      <c r="F240">
        <f>AVERAGE(Processing_index!$L$7,Processing_index!$N$7)</f>
        <v>0.41623176848874599</v>
      </c>
      <c r="G240">
        <f t="shared" si="78"/>
        <v>0.42878399407734252</v>
      </c>
      <c r="H240">
        <f t="shared" si="79"/>
        <v>0.29262275048702674</v>
      </c>
      <c r="I240">
        <f t="shared" si="80"/>
        <v>0.96704910019481072</v>
      </c>
      <c r="J240">
        <f t="shared" si="81"/>
        <v>0.41465517565043114</v>
      </c>
      <c r="K240">
        <f t="shared" si="82"/>
        <v>7</v>
      </c>
    </row>
    <row r="241" spans="1:11" x14ac:dyDescent="0.2">
      <c r="A241" t="s">
        <v>61</v>
      </c>
      <c r="B241">
        <f>Processing_index!$S$8</f>
        <v>0.44050748201577455</v>
      </c>
      <c r="C241">
        <f>Processing_index!$T$8</f>
        <v>0.24148819253858789</v>
      </c>
      <c r="D241">
        <f>Processing_index!$U$8</f>
        <v>0.28762351537264413</v>
      </c>
      <c r="E241">
        <f>Processing_index!$V$8</f>
        <v>0.55737050241713504</v>
      </c>
      <c r="F241">
        <f>AVERAGE(Processing_index!$L$8,Processing_index!$N$8)</f>
        <v>0.30969221864951768</v>
      </c>
      <c r="G241">
        <f t="shared" si="78"/>
        <v>0.36733638219873183</v>
      </c>
      <c r="H241">
        <f t="shared" si="79"/>
        <v>0.24148819253858789</v>
      </c>
      <c r="I241">
        <f t="shared" si="80"/>
        <v>0.94659527701543511</v>
      </c>
      <c r="J241">
        <f t="shared" si="81"/>
        <v>0.34771888446525628</v>
      </c>
      <c r="K241">
        <f t="shared" si="82"/>
        <v>8</v>
      </c>
    </row>
    <row r="242" spans="1:11" x14ac:dyDescent="0.2">
      <c r="A242" t="s">
        <v>42</v>
      </c>
      <c r="B242">
        <f>Processing_index!$S$9</f>
        <v>0.56305678509086798</v>
      </c>
      <c r="C242">
        <f>Processing_index!$T$9</f>
        <v>0.44228904942330344</v>
      </c>
      <c r="D242">
        <f>Processing_index!$U$9</f>
        <v>0.67117889658153684</v>
      </c>
      <c r="E242">
        <f>Processing_index!$V$9</f>
        <v>0.72541215670263681</v>
      </c>
      <c r="F242">
        <f>AVERAGE(Processing_index!$L$9,Processing_index!$N$9)</f>
        <v>0.81230122186495168</v>
      </c>
      <c r="G242">
        <f t="shared" si="78"/>
        <v>0.64284762193265943</v>
      </c>
      <c r="H242">
        <f t="shared" si="79"/>
        <v>0.44228904942330344</v>
      </c>
      <c r="I242">
        <f t="shared" si="80"/>
        <v>1</v>
      </c>
      <c r="J242">
        <f t="shared" si="81"/>
        <v>0.64284762193265943</v>
      </c>
      <c r="K242">
        <f t="shared" si="82"/>
        <v>2</v>
      </c>
    </row>
    <row r="243" spans="1:11" x14ac:dyDescent="0.2">
      <c r="A243" t="s">
        <v>64</v>
      </c>
      <c r="B243">
        <f>Processing_index!$S$10</f>
        <v>0.35071163000096101</v>
      </c>
      <c r="C243">
        <f>Processing_index!$T$10</f>
        <v>0.23499113477492253</v>
      </c>
      <c r="D243">
        <f>Processing_index!$U$10</f>
        <v>0.60004571329783574</v>
      </c>
      <c r="E243">
        <f>Processing_index!$V$10</f>
        <v>0.55285895708554278</v>
      </c>
      <c r="F243">
        <f>AVERAGE(Processing_index!$L$10,Processing_index!$N$10)</f>
        <v>0.56276836012861742</v>
      </c>
      <c r="G243">
        <f t="shared" si="78"/>
        <v>0.46027515905757588</v>
      </c>
      <c r="H243">
        <f t="shared" si="79"/>
        <v>0.23499113477492253</v>
      </c>
      <c r="I243">
        <f t="shared" si="80"/>
        <v>0.943996453909969</v>
      </c>
      <c r="J243">
        <f t="shared" si="81"/>
        <v>0.43449811797319859</v>
      </c>
      <c r="K243">
        <f t="shared" si="82"/>
        <v>6</v>
      </c>
    </row>
    <row r="244" spans="1:11" x14ac:dyDescent="0.2">
      <c r="A244" t="s">
        <v>54</v>
      </c>
      <c r="B244">
        <f>Processing_index!$S$11</f>
        <v>0.69463420725364811</v>
      </c>
      <c r="C244">
        <f>Processing_index!$T$11</f>
        <v>0.39037289108176643</v>
      </c>
      <c r="D244">
        <f>Processing_index!$U$11</f>
        <v>0.75697314098589785</v>
      </c>
      <c r="E244">
        <f>Processing_index!$V$11</f>
        <v>0.8994049098912259</v>
      </c>
      <c r="F244">
        <f>AVERAGE(Processing_index!$L$11,Processing_index!$N$11)</f>
        <v>0.90249209003215425</v>
      </c>
      <c r="G244">
        <f t="shared" si="78"/>
        <v>0.72877544784893855</v>
      </c>
      <c r="H244">
        <f t="shared" si="79"/>
        <v>0.39037289108176643</v>
      </c>
      <c r="I244">
        <f t="shared" si="80"/>
        <v>1</v>
      </c>
      <c r="J244">
        <f t="shared" si="81"/>
        <v>0.72877544784893855</v>
      </c>
      <c r="K244">
        <f t="shared" si="82"/>
        <v>1</v>
      </c>
    </row>
    <row r="245" spans="1:11" x14ac:dyDescent="0.2">
      <c r="A245" t="s">
        <v>56</v>
      </c>
      <c r="B245">
        <f>Processing_index!$S$12</f>
        <v>0.71082122228055045</v>
      </c>
      <c r="C245">
        <f>Processing_index!$T$12</f>
        <v>0.26817044733481826</v>
      </c>
      <c r="D245">
        <f>Processing_index!$U$12</f>
        <v>0.5611371100196817</v>
      </c>
      <c r="E245">
        <f>Processing_index!$V$12</f>
        <v>0.70371201818939955</v>
      </c>
      <c r="F245">
        <f>AVERAGE(Processing_index!$L$12,Processing_index!$N$12)</f>
        <v>0.54681556270096465</v>
      </c>
      <c r="G245">
        <f t="shared" si="78"/>
        <v>0.55813127210508295</v>
      </c>
      <c r="H245">
        <f t="shared" si="79"/>
        <v>0.26817044733481826</v>
      </c>
      <c r="I245">
        <f t="shared" si="80"/>
        <v>0.95726817893392735</v>
      </c>
      <c r="J245">
        <f t="shared" si="81"/>
        <v>0.5342813064541091</v>
      </c>
      <c r="K245">
        <f t="shared" si="82"/>
        <v>4</v>
      </c>
    </row>
    <row r="246" spans="1:11" x14ac:dyDescent="0.2">
      <c r="A246" t="s">
        <v>45</v>
      </c>
      <c r="B246">
        <f>Processing_index!$S$13</f>
        <v>0.57839515879101233</v>
      </c>
      <c r="C246">
        <f>Processing_index!$T$13</f>
        <v>0.37003901547693341</v>
      </c>
      <c r="D246">
        <f>Processing_index!$U$13</f>
        <v>0.62584075418150009</v>
      </c>
      <c r="E246">
        <f>Processing_index!$V$13</f>
        <v>0.90826853207809577</v>
      </c>
      <c r="F246">
        <f>AVERAGE(Processing_index!$L$13,Processing_index!$N$13)</f>
        <v>0.56005196141479097</v>
      </c>
      <c r="G246">
        <f t="shared" si="78"/>
        <v>0.60851908438846647</v>
      </c>
      <c r="H246">
        <f t="shared" si="79"/>
        <v>0.37003901547693341</v>
      </c>
      <c r="I246">
        <f t="shared" si="80"/>
        <v>0.99801560619077334</v>
      </c>
      <c r="J246">
        <f t="shared" si="81"/>
        <v>0.60731154288460976</v>
      </c>
      <c r="K246">
        <f t="shared" si="82"/>
        <v>3</v>
      </c>
    </row>
    <row r="247" spans="1:11" x14ac:dyDescent="0.2">
      <c r="A247" t="s">
        <v>40</v>
      </c>
      <c r="B247">
        <f>Processing_index!$S$14</f>
        <v>0.21832676937677528</v>
      </c>
      <c r="C247">
        <f>Processing_index!$T$14</f>
        <v>0.10718623435529315</v>
      </c>
      <c r="D247">
        <f>Processing_index!$U$14</f>
        <v>0.28034164118021382</v>
      </c>
      <c r="E247">
        <f>Processing_index!$V$14</f>
        <v>0.45739639864411208</v>
      </c>
      <c r="F247">
        <f>AVERAGE(Processing_index!$L$14,Processing_index!$N$14)</f>
        <v>0.22536951768488744</v>
      </c>
      <c r="G247">
        <f t="shared" si="78"/>
        <v>0.25772411224825637</v>
      </c>
      <c r="H247">
        <f t="shared" si="79"/>
        <v>0.10718623435529315</v>
      </c>
      <c r="I247">
        <f t="shared" si="80"/>
        <v>0.89287449374211725</v>
      </c>
      <c r="J247">
        <f t="shared" si="81"/>
        <v>0.23011528624879851</v>
      </c>
      <c r="K247">
        <f t="shared" si="82"/>
        <v>10</v>
      </c>
    </row>
    <row r="248" spans="1:11" x14ac:dyDescent="0.2">
      <c r="A248" t="s">
        <v>130</v>
      </c>
      <c r="B248">
        <f>Processing_index!$S$15</f>
        <v>0.17392266674442028</v>
      </c>
      <c r="C248">
        <f>Processing_index!$T$15</f>
        <v>0.23417283141449302</v>
      </c>
      <c r="D248">
        <f>Processing_index!$U$15</f>
        <v>0.36886287936698087</v>
      </c>
      <c r="E248">
        <f>Processing_index!$V$15</f>
        <v>0.35816637363864023</v>
      </c>
      <c r="F248">
        <f>AVERAGE(Processing_index!$L$15,Processing_index!$N$15)</f>
        <v>0.24544823151125406</v>
      </c>
      <c r="G248">
        <f t="shared" si="78"/>
        <v>0.27611459653515769</v>
      </c>
      <c r="H248">
        <f t="shared" si="79"/>
        <v>0.17392266674442028</v>
      </c>
      <c r="I248">
        <f t="shared" si="80"/>
        <v>0.91956906669776806</v>
      </c>
      <c r="J248">
        <f t="shared" si="81"/>
        <v>0.25390644183746575</v>
      </c>
      <c r="K248">
        <f t="shared" si="82"/>
        <v>9</v>
      </c>
    </row>
    <row r="249" spans="1:11" x14ac:dyDescent="0.2">
      <c r="A249" s="3" t="s">
        <v>242</v>
      </c>
      <c r="B249">
        <f>1-6*SUMPRODUCT((Processing_index!$AF$6:$AF$15-$K$239:$K$248)^2)/(10*(10^2-1))</f>
        <v>1</v>
      </c>
    </row>
    <row r="250" spans="1:11" x14ac:dyDescent="0.2">
      <c r="A250" s="3" t="s">
        <v>243</v>
      </c>
      <c r="B250">
        <f>SUMPRODUCT(--(Processing_index!$AF$6:$AF$15&lt;&gt;$K$239:$K$248))</f>
        <v>0</v>
      </c>
    </row>
    <row r="252" spans="1:11" x14ac:dyDescent="0.2">
      <c r="A252" s="3" t="s">
        <v>265</v>
      </c>
    </row>
    <row r="253" spans="1:11" x14ac:dyDescent="0.2">
      <c r="A253" s="3" t="s">
        <v>125</v>
      </c>
      <c r="B253" s="3" t="s">
        <v>142</v>
      </c>
      <c r="C253" s="3" t="s">
        <v>156</v>
      </c>
      <c r="D253" s="3" t="s">
        <v>163</v>
      </c>
      <c r="E253" s="3" t="s">
        <v>174</v>
      </c>
      <c r="F253" s="3" t="s">
        <v>183</v>
      </c>
      <c r="G253" s="3" t="s">
        <v>208</v>
      </c>
      <c r="H253" s="3" t="s">
        <v>209</v>
      </c>
      <c r="I253" s="3" t="s">
        <v>211</v>
      </c>
      <c r="J253" s="3" t="s">
        <v>212</v>
      </c>
      <c r="K253" s="3" t="s">
        <v>225</v>
      </c>
    </row>
    <row r="254" spans="1:11" x14ac:dyDescent="0.2">
      <c r="A254" t="s">
        <v>59</v>
      </c>
      <c r="B254">
        <f>Processing_index!$S$6</f>
        <v>0.4430279712764193</v>
      </c>
      <c r="C254">
        <f>Processing_index!$T$6</f>
        <v>0.62846775225416951</v>
      </c>
      <c r="D254">
        <f>Processing_index!$U$6</f>
        <v>0.34867747763835871</v>
      </c>
      <c r="E254">
        <f>Processing_index!$V$6</f>
        <v>0.77338574140818706</v>
      </c>
      <c r="F254">
        <f>AVERAGE(Processing_index!$L$6,Processing_index!$M$6)</f>
        <v>0.44742757850795545</v>
      </c>
      <c r="G254">
        <f t="shared" ref="G254:G263" si="83">AVERAGE(B254:F254)</f>
        <v>0.52819730421701805</v>
      </c>
      <c r="H254">
        <f t="shared" ref="H254:H263" si="84">MIN(B254:F254)</f>
        <v>0.34867747763835871</v>
      </c>
      <c r="I254">
        <f t="shared" ref="I254:I263" si="85">1-alpha*MAX(0,delta-H254)</f>
        <v>0.98947099105534353</v>
      </c>
      <c r="J254">
        <f t="shared" ref="J254:J263" si="86">G254*I254</f>
        <v>0.52263591007637367</v>
      </c>
      <c r="K254">
        <f t="shared" ref="K254:K263" si="87">1+COUNTIF($J$254:$J$263,"&gt;"&amp;J254)</f>
        <v>5</v>
      </c>
    </row>
    <row r="255" spans="1:11" x14ac:dyDescent="0.2">
      <c r="A255" t="s">
        <v>51</v>
      </c>
      <c r="B255">
        <f>Processing_index!$S$7</f>
        <v>0.29262275048702674</v>
      </c>
      <c r="C255">
        <f>Processing_index!$T$7</f>
        <v>0.29587345968346318</v>
      </c>
      <c r="D255">
        <f>Processing_index!$U$7</f>
        <v>0.5332085800536488</v>
      </c>
      <c r="E255">
        <f>Processing_index!$V$7</f>
        <v>0.60598341167382808</v>
      </c>
      <c r="F255">
        <f>AVERAGE(Processing_index!$L$7,Processing_index!$M$7)</f>
        <v>0.5169934223309538</v>
      </c>
      <c r="G255">
        <f t="shared" si="83"/>
        <v>0.44893632484578416</v>
      </c>
      <c r="H255">
        <f t="shared" si="84"/>
        <v>0.29262275048702674</v>
      </c>
      <c r="I255">
        <f t="shared" si="85"/>
        <v>0.96704910019481072</v>
      </c>
      <c r="J255">
        <f t="shared" si="86"/>
        <v>0.43414346898688083</v>
      </c>
      <c r="K255">
        <f t="shared" si="87"/>
        <v>7</v>
      </c>
    </row>
    <row r="256" spans="1:11" x14ac:dyDescent="0.2">
      <c r="A256" t="s">
        <v>61</v>
      </c>
      <c r="B256">
        <f>Processing_index!$S$8</f>
        <v>0.44050748201577455</v>
      </c>
      <c r="C256">
        <f>Processing_index!$T$8</f>
        <v>0.24148819253858789</v>
      </c>
      <c r="D256">
        <f>Processing_index!$U$8</f>
        <v>0.28762351537264413</v>
      </c>
      <c r="E256">
        <f>Processing_index!$V$8</f>
        <v>0.55737050241713504</v>
      </c>
      <c r="F256">
        <f>AVERAGE(Processing_index!$L$8,Processing_index!$M$8)</f>
        <v>0.42667605367567957</v>
      </c>
      <c r="G256">
        <f t="shared" si="83"/>
        <v>0.39073314920396418</v>
      </c>
      <c r="H256">
        <f t="shared" si="84"/>
        <v>0.24148819253858789</v>
      </c>
      <c r="I256">
        <f t="shared" si="85"/>
        <v>0.94659527701543511</v>
      </c>
      <c r="J256">
        <f t="shared" si="86"/>
        <v>0.36986615360983982</v>
      </c>
      <c r="K256">
        <f t="shared" si="87"/>
        <v>8</v>
      </c>
    </row>
    <row r="257" spans="1:11" x14ac:dyDescent="0.2">
      <c r="A257" t="s">
        <v>42</v>
      </c>
      <c r="B257">
        <f>Processing_index!$S$9</f>
        <v>0.56305678509086798</v>
      </c>
      <c r="C257">
        <f>Processing_index!$T$9</f>
        <v>0.44228904942330344</v>
      </c>
      <c r="D257">
        <f>Processing_index!$U$9</f>
        <v>0.67117889658153684</v>
      </c>
      <c r="E257">
        <f>Processing_index!$V$9</f>
        <v>0.72541215670263681</v>
      </c>
      <c r="F257">
        <f>AVERAGE(Processing_index!$L$9,Processing_index!$M$9)</f>
        <v>0.73523839638018718</v>
      </c>
      <c r="G257">
        <f t="shared" si="83"/>
        <v>0.62743505683570644</v>
      </c>
      <c r="H257">
        <f t="shared" si="84"/>
        <v>0.44228904942330344</v>
      </c>
      <c r="I257">
        <f t="shared" si="85"/>
        <v>1</v>
      </c>
      <c r="J257">
        <f t="shared" si="86"/>
        <v>0.62743505683570644</v>
      </c>
      <c r="K257">
        <f t="shared" si="87"/>
        <v>3</v>
      </c>
    </row>
    <row r="258" spans="1:11" x14ac:dyDescent="0.2">
      <c r="A258" t="s">
        <v>64</v>
      </c>
      <c r="B258">
        <f>Processing_index!$S$10</f>
        <v>0.35071163000096101</v>
      </c>
      <c r="C258">
        <f>Processing_index!$T$10</f>
        <v>0.23499113477492253</v>
      </c>
      <c r="D258">
        <f>Processing_index!$U$10</f>
        <v>0.60004571329783574</v>
      </c>
      <c r="E258">
        <f>Processing_index!$V$10</f>
        <v>0.55285895708554278</v>
      </c>
      <c r="F258">
        <f>AVERAGE(Processing_index!$L$10,Processing_index!$M$10)</f>
        <v>0.71490728287407745</v>
      </c>
      <c r="G258">
        <f t="shared" si="83"/>
        <v>0.49070294360666794</v>
      </c>
      <c r="H258">
        <f t="shared" si="84"/>
        <v>0.23499113477492253</v>
      </c>
      <c r="I258">
        <f t="shared" si="85"/>
        <v>0.943996453909969</v>
      </c>
      <c r="J258">
        <f t="shared" si="86"/>
        <v>0.46322183868787803</v>
      </c>
      <c r="K258">
        <f t="shared" si="87"/>
        <v>6</v>
      </c>
    </row>
    <row r="259" spans="1:11" x14ac:dyDescent="0.2">
      <c r="A259" t="s">
        <v>54</v>
      </c>
      <c r="B259">
        <f>Processing_index!$S$11</f>
        <v>0.69463420725364811</v>
      </c>
      <c r="C259">
        <f>Processing_index!$T$11</f>
        <v>0.39037289108176643</v>
      </c>
      <c r="D259">
        <f>Processing_index!$U$11</f>
        <v>0.75697314098589785</v>
      </c>
      <c r="E259">
        <f>Processing_index!$V$11</f>
        <v>0.8994049098912259</v>
      </c>
      <c r="F259">
        <f>AVERAGE(Processing_index!$L$11,Processing_index!$M$11)</f>
        <v>0.90428853201430259</v>
      </c>
      <c r="G259">
        <f t="shared" si="83"/>
        <v>0.72913473624536818</v>
      </c>
      <c r="H259">
        <f t="shared" si="84"/>
        <v>0.39037289108176643</v>
      </c>
      <c r="I259">
        <f t="shared" si="85"/>
        <v>1</v>
      </c>
      <c r="J259">
        <f t="shared" si="86"/>
        <v>0.72913473624536818</v>
      </c>
      <c r="K259">
        <f t="shared" si="87"/>
        <v>1</v>
      </c>
    </row>
    <row r="260" spans="1:11" x14ac:dyDescent="0.2">
      <c r="A260" t="s">
        <v>56</v>
      </c>
      <c r="B260">
        <f>Processing_index!$S$12</f>
        <v>0.71082122228055045</v>
      </c>
      <c r="C260">
        <f>Processing_index!$T$12</f>
        <v>0.26817044733481826</v>
      </c>
      <c r="D260">
        <f>Processing_index!$U$12</f>
        <v>0.5611371100196817</v>
      </c>
      <c r="E260">
        <f>Processing_index!$V$12</f>
        <v>0.70371201818939955</v>
      </c>
      <c r="F260">
        <f>AVERAGE(Processing_index!$L$12,Processing_index!$M$12)</f>
        <v>0.68432358773430824</v>
      </c>
      <c r="G260">
        <f t="shared" si="83"/>
        <v>0.58563287711175172</v>
      </c>
      <c r="H260">
        <f t="shared" si="84"/>
        <v>0.26817044733481826</v>
      </c>
      <c r="I260">
        <f t="shared" si="85"/>
        <v>0.95726817893392735</v>
      </c>
      <c r="J260">
        <f t="shared" si="86"/>
        <v>0.56060771779660301</v>
      </c>
      <c r="K260">
        <f t="shared" si="87"/>
        <v>4</v>
      </c>
    </row>
    <row r="261" spans="1:11" x14ac:dyDescent="0.2">
      <c r="A261" t="s">
        <v>45</v>
      </c>
      <c r="B261">
        <f>Processing_index!$S$13</f>
        <v>0.57839515879101233</v>
      </c>
      <c r="C261">
        <f>Processing_index!$T$13</f>
        <v>0.37003901547693341</v>
      </c>
      <c r="D261">
        <f>Processing_index!$U$13</f>
        <v>0.62584075418150009</v>
      </c>
      <c r="E261">
        <f>Processing_index!$V$13</f>
        <v>0.90826853207809577</v>
      </c>
      <c r="F261">
        <f>AVERAGE(Processing_index!$L$13,Processing_index!$M$13)</f>
        <v>0.73385802276700196</v>
      </c>
      <c r="G261">
        <f t="shared" si="83"/>
        <v>0.64328029665890862</v>
      </c>
      <c r="H261">
        <f t="shared" si="84"/>
        <v>0.37003901547693341</v>
      </c>
      <c r="I261">
        <f t="shared" si="85"/>
        <v>0.99801560619077334</v>
      </c>
      <c r="J261">
        <f t="shared" si="86"/>
        <v>0.64200377522062124</v>
      </c>
      <c r="K261">
        <f t="shared" si="87"/>
        <v>2</v>
      </c>
    </row>
    <row r="262" spans="1:11" x14ac:dyDescent="0.2">
      <c r="A262" t="s">
        <v>40</v>
      </c>
      <c r="B262">
        <f>Processing_index!$S$14</f>
        <v>0.21832676937677528</v>
      </c>
      <c r="C262">
        <f>Processing_index!$T$14</f>
        <v>0.10718623435529315</v>
      </c>
      <c r="D262">
        <f>Processing_index!$U$14</f>
        <v>0.28034164118021382</v>
      </c>
      <c r="E262">
        <f>Processing_index!$V$14</f>
        <v>0.45739639864411208</v>
      </c>
      <c r="F262">
        <f>AVERAGE(Processing_index!$L$14,Processing_index!$M$14)</f>
        <v>0.35261894417508954</v>
      </c>
      <c r="G262">
        <f t="shared" si="83"/>
        <v>0.28317399754629674</v>
      </c>
      <c r="H262">
        <f t="shared" si="84"/>
        <v>0.10718623435529315</v>
      </c>
      <c r="I262">
        <f t="shared" si="85"/>
        <v>0.89287449374211725</v>
      </c>
      <c r="J262">
        <f t="shared" si="86"/>
        <v>0.25283883970008125</v>
      </c>
      <c r="K262">
        <f t="shared" si="87"/>
        <v>10</v>
      </c>
    </row>
    <row r="263" spans="1:11" x14ac:dyDescent="0.2">
      <c r="A263" t="s">
        <v>130</v>
      </c>
      <c r="B263">
        <f>Processing_index!$S$15</f>
        <v>0.17392266674442028</v>
      </c>
      <c r="C263">
        <f>Processing_index!$T$15</f>
        <v>0.23417283141449302</v>
      </c>
      <c r="D263">
        <f>Processing_index!$U$15</f>
        <v>0.36886287936698087</v>
      </c>
      <c r="E263">
        <f>Processing_index!$V$15</f>
        <v>0.35816637363864023</v>
      </c>
      <c r="F263">
        <f>AVERAGE(Processing_index!$L$15,Processing_index!$M$15)</f>
        <v>0.35562892300607296</v>
      </c>
      <c r="G263">
        <f t="shared" si="83"/>
        <v>0.29815073483412147</v>
      </c>
      <c r="H263">
        <f t="shared" si="84"/>
        <v>0.17392266674442028</v>
      </c>
      <c r="I263">
        <f t="shared" si="85"/>
        <v>0.91956906669776806</v>
      </c>
      <c r="J263">
        <f t="shared" si="86"/>
        <v>0.27417019296666678</v>
      </c>
      <c r="K263">
        <f t="shared" si="87"/>
        <v>9</v>
      </c>
    </row>
    <row r="264" spans="1:11" x14ac:dyDescent="0.2">
      <c r="A264" s="3" t="s">
        <v>242</v>
      </c>
      <c r="B264">
        <f>1-6*SUMPRODUCT((Processing_index!$AF$6:$AF$15-$K$254:$K$263)^2)/(10*(10^2-1))</f>
        <v>0.98787878787878791</v>
      </c>
    </row>
    <row r="265" spans="1:11" x14ac:dyDescent="0.2">
      <c r="A265" s="3" t="s">
        <v>243</v>
      </c>
      <c r="B265">
        <f>SUMPRODUCT(--(Processing_index!$AF$6:$AF$15&lt;&gt;$K$254:$K$263))</f>
        <v>2</v>
      </c>
    </row>
    <row r="267" spans="1:11" x14ac:dyDescent="0.2">
      <c r="A267" s="3" t="s">
        <v>266</v>
      </c>
    </row>
    <row r="268" spans="1:11" x14ac:dyDescent="0.2">
      <c r="A268" s="3" t="s">
        <v>267</v>
      </c>
      <c r="B268" s="3" t="s">
        <v>242</v>
      </c>
      <c r="C268" s="3" t="s">
        <v>243</v>
      </c>
      <c r="D268" s="3" t="s">
        <v>252</v>
      </c>
    </row>
    <row r="269" spans="1:11" x14ac:dyDescent="0.2">
      <c r="A269" t="s">
        <v>142</v>
      </c>
      <c r="B269">
        <f>$B$288</f>
        <v>0.98787878787878791</v>
      </c>
      <c r="C269">
        <f>$B$289</f>
        <v>2</v>
      </c>
      <c r="D269">
        <v>276</v>
      </c>
    </row>
    <row r="270" spans="1:11" x14ac:dyDescent="0.2">
      <c r="A270" t="s">
        <v>156</v>
      </c>
      <c r="B270">
        <f>$B$303</f>
        <v>0.97575757575757571</v>
      </c>
      <c r="C270">
        <f>$B$304</f>
        <v>4</v>
      </c>
      <c r="D270">
        <v>291</v>
      </c>
    </row>
    <row r="271" spans="1:11" x14ac:dyDescent="0.2">
      <c r="A271" t="s">
        <v>163</v>
      </c>
      <c r="B271">
        <f>$B$318</f>
        <v>0.98787878787878791</v>
      </c>
      <c r="C271">
        <f>$B$319</f>
        <v>2</v>
      </c>
      <c r="D271">
        <v>306</v>
      </c>
    </row>
    <row r="272" spans="1:11" x14ac:dyDescent="0.2">
      <c r="A272" t="s">
        <v>174</v>
      </c>
      <c r="B272">
        <f>$B$333</f>
        <v>1</v>
      </c>
      <c r="C272">
        <f>$B$334</f>
        <v>0</v>
      </c>
      <c r="D272">
        <v>321</v>
      </c>
    </row>
    <row r="273" spans="1:10" x14ac:dyDescent="0.2">
      <c r="A273" t="s">
        <v>183</v>
      </c>
      <c r="B273">
        <f>$B$348</f>
        <v>0.96363636363636362</v>
      </c>
      <c r="C273">
        <f>$B$349</f>
        <v>6</v>
      </c>
      <c r="D273">
        <v>336</v>
      </c>
    </row>
    <row r="276" spans="1:10" x14ac:dyDescent="0.2">
      <c r="A276" s="3" t="s">
        <v>268</v>
      </c>
    </row>
    <row r="277" spans="1:10" x14ac:dyDescent="0.2">
      <c r="A277" s="3" t="s">
        <v>125</v>
      </c>
      <c r="B277" s="3" t="s">
        <v>156</v>
      </c>
      <c r="C277" s="3" t="s">
        <v>163</v>
      </c>
      <c r="D277" s="3" t="s">
        <v>174</v>
      </c>
      <c r="E277" s="3" t="s">
        <v>183</v>
      </c>
      <c r="F277" s="3" t="s">
        <v>208</v>
      </c>
      <c r="G277" s="3" t="s">
        <v>209</v>
      </c>
      <c r="H277" s="3" t="s">
        <v>211</v>
      </c>
      <c r="I277" s="3" t="s">
        <v>212</v>
      </c>
      <c r="J277" s="3" t="s">
        <v>225</v>
      </c>
    </row>
    <row r="278" spans="1:10" x14ac:dyDescent="0.2">
      <c r="A278" t="s">
        <v>59</v>
      </c>
      <c r="B278">
        <f>Processing_index!$T$6</f>
        <v>0.62846775225416951</v>
      </c>
      <c r="C278">
        <f>Processing_index!$U$6</f>
        <v>0.34867747763835871</v>
      </c>
      <c r="D278">
        <f>Processing_index!$V$6</f>
        <v>0.77338574140818706</v>
      </c>
      <c r="E278">
        <f>Processing_index!$W$6</f>
        <v>0.52377838567197033</v>
      </c>
      <c r="F278">
        <f t="shared" ref="F278:F287" si="88">AVERAGE(B278:E278)</f>
        <v>0.56857733924317144</v>
      </c>
      <c r="G278">
        <f t="shared" ref="G278:G287" si="89">MIN(B278:E278)</f>
        <v>0.34867747763835871</v>
      </c>
      <c r="H278">
        <f t="shared" ref="H278:H287" si="90">1-alpha*MAX(0,delta-G278)</f>
        <v>0.98947099105534353</v>
      </c>
      <c r="I278">
        <f t="shared" ref="I278:I287" si="91">F278*H278</f>
        <v>0.56259078335255108</v>
      </c>
      <c r="J278">
        <f t="shared" ref="J278:J287" si="92">1+COUNTIF($I$278:$I$287,"&gt;"&amp;I278)</f>
        <v>4</v>
      </c>
    </row>
    <row r="279" spans="1:10" x14ac:dyDescent="0.2">
      <c r="A279" t="s">
        <v>51</v>
      </c>
      <c r="B279">
        <f>Processing_index!$T$7</f>
        <v>0.29587345968346318</v>
      </c>
      <c r="C279">
        <f>Processing_index!$U$7</f>
        <v>0.5332085800536488</v>
      </c>
      <c r="D279">
        <f>Processing_index!$V$7</f>
        <v>0.60598341167382808</v>
      </c>
      <c r="E279">
        <f>Processing_index!$W$7</f>
        <v>0.47884894822063589</v>
      </c>
      <c r="F279">
        <f t="shared" si="88"/>
        <v>0.47847859990789399</v>
      </c>
      <c r="G279">
        <f t="shared" si="89"/>
        <v>0.29587345968346318</v>
      </c>
      <c r="H279">
        <f t="shared" si="90"/>
        <v>0.96834938387338532</v>
      </c>
      <c r="I279">
        <f t="shared" si="91"/>
        <v>0.4633344574174092</v>
      </c>
      <c r="J279">
        <f t="shared" si="92"/>
        <v>7</v>
      </c>
    </row>
    <row r="280" spans="1:10" x14ac:dyDescent="0.2">
      <c r="A280" t="s">
        <v>61</v>
      </c>
      <c r="B280">
        <f>Processing_index!$T$8</f>
        <v>0.24148819253858789</v>
      </c>
      <c r="C280">
        <f>Processing_index!$U$8</f>
        <v>0.28762351537264413</v>
      </c>
      <c r="D280">
        <f>Processing_index!$V$8</f>
        <v>0.55737050241713504</v>
      </c>
      <c r="E280">
        <f>Processing_index!$W$8</f>
        <v>0.37810403578378637</v>
      </c>
      <c r="F280">
        <f t="shared" si="88"/>
        <v>0.36614656152803832</v>
      </c>
      <c r="G280">
        <f t="shared" si="89"/>
        <v>0.24148819253858789</v>
      </c>
      <c r="H280">
        <f t="shared" si="90"/>
        <v>0.94659527701543511</v>
      </c>
      <c r="I280">
        <f t="shared" si="91"/>
        <v>0.34659260583788248</v>
      </c>
      <c r="J280">
        <f t="shared" si="92"/>
        <v>8</v>
      </c>
    </row>
    <row r="281" spans="1:10" x14ac:dyDescent="0.2">
      <c r="A281" t="s">
        <v>42</v>
      </c>
      <c r="B281">
        <f>Processing_index!$T$9</f>
        <v>0.44228904942330344</v>
      </c>
      <c r="C281">
        <f>Processing_index!$U$9</f>
        <v>0.67117889658153684</v>
      </c>
      <c r="D281">
        <f>Processing_index!$V$9</f>
        <v>0.72541215670263681</v>
      </c>
      <c r="E281">
        <f>Processing_index!$W$9</f>
        <v>0.81207893092012473</v>
      </c>
      <c r="F281">
        <f t="shared" si="88"/>
        <v>0.66273975840690047</v>
      </c>
      <c r="G281">
        <f t="shared" si="89"/>
        <v>0.44228904942330344</v>
      </c>
      <c r="H281">
        <f t="shared" si="90"/>
        <v>1</v>
      </c>
      <c r="I281">
        <f t="shared" si="91"/>
        <v>0.66273975840690047</v>
      </c>
      <c r="J281">
        <f t="shared" si="92"/>
        <v>2</v>
      </c>
    </row>
    <row r="282" spans="1:10" x14ac:dyDescent="0.2">
      <c r="A282" t="s">
        <v>64</v>
      </c>
      <c r="B282">
        <f>Processing_index!$T$10</f>
        <v>0.23499113477492253</v>
      </c>
      <c r="C282">
        <f>Processing_index!$U$10</f>
        <v>0.60004571329783574</v>
      </c>
      <c r="D282">
        <f>Processing_index!$V$10</f>
        <v>0.55285895708554278</v>
      </c>
      <c r="E282">
        <f>Processing_index!$W$10</f>
        <v>0.62284485524938493</v>
      </c>
      <c r="F282">
        <f t="shared" si="88"/>
        <v>0.50268516510192152</v>
      </c>
      <c r="G282">
        <f t="shared" si="89"/>
        <v>0.23499113477492253</v>
      </c>
      <c r="H282">
        <f t="shared" si="90"/>
        <v>0.943996453909969</v>
      </c>
      <c r="I282">
        <f t="shared" si="91"/>
        <v>0.47453301328936121</v>
      </c>
      <c r="J282">
        <f t="shared" si="92"/>
        <v>6</v>
      </c>
    </row>
    <row r="283" spans="1:10" x14ac:dyDescent="0.2">
      <c r="A283" t="s">
        <v>54</v>
      </c>
      <c r="B283">
        <f>Processing_index!$T$11</f>
        <v>0.39037289108176643</v>
      </c>
      <c r="C283">
        <f>Processing_index!$U$11</f>
        <v>0.75697314098589785</v>
      </c>
      <c r="D283">
        <f>Processing_index!$V$11</f>
        <v>0.8994049098912259</v>
      </c>
      <c r="E283">
        <f>Processing_index!$W$11</f>
        <v>0.88061902134286851</v>
      </c>
      <c r="F283">
        <f t="shared" si="88"/>
        <v>0.73184249082543973</v>
      </c>
      <c r="G283">
        <f t="shared" si="89"/>
        <v>0.39037289108176643</v>
      </c>
      <c r="H283">
        <f t="shared" si="90"/>
        <v>1</v>
      </c>
      <c r="I283">
        <f t="shared" si="91"/>
        <v>0.73184249082543973</v>
      </c>
      <c r="J283">
        <f t="shared" si="92"/>
        <v>1</v>
      </c>
    </row>
    <row r="284" spans="1:10" x14ac:dyDescent="0.2">
      <c r="A284" t="s">
        <v>56</v>
      </c>
      <c r="B284">
        <f>Processing_index!$T$12</f>
        <v>0.26817044733481826</v>
      </c>
      <c r="C284">
        <f>Processing_index!$U$12</f>
        <v>0.5611371100196817</v>
      </c>
      <c r="D284">
        <f>Processing_index!$V$12</f>
        <v>0.70371201818939955</v>
      </c>
      <c r="E284">
        <f>Processing_index!$W$12</f>
        <v>0.59637572515620552</v>
      </c>
      <c r="F284">
        <f t="shared" si="88"/>
        <v>0.53234882517502624</v>
      </c>
      <c r="G284">
        <f t="shared" si="89"/>
        <v>0.26817044733481826</v>
      </c>
      <c r="H284">
        <f t="shared" si="90"/>
        <v>0.95726817893392735</v>
      </c>
      <c r="I284">
        <f t="shared" si="91"/>
        <v>0.50960059043291306</v>
      </c>
      <c r="J284">
        <f t="shared" si="92"/>
        <v>5</v>
      </c>
    </row>
    <row r="285" spans="1:10" x14ac:dyDescent="0.2">
      <c r="A285" t="s">
        <v>45</v>
      </c>
      <c r="B285">
        <f>Processing_index!$T$13</f>
        <v>0.37003901547693341</v>
      </c>
      <c r="C285">
        <f>Processing_index!$U$13</f>
        <v>0.62584075418150009</v>
      </c>
      <c r="D285">
        <f>Processing_index!$V$13</f>
        <v>0.90826853207809577</v>
      </c>
      <c r="E285">
        <f>Processing_index!$W$13</f>
        <v>0.61094534851133464</v>
      </c>
      <c r="F285">
        <f t="shared" si="88"/>
        <v>0.62877341256196595</v>
      </c>
      <c r="G285">
        <f t="shared" si="89"/>
        <v>0.37003901547693341</v>
      </c>
      <c r="H285">
        <f t="shared" si="90"/>
        <v>0.99801560619077334</v>
      </c>
      <c r="I285">
        <f t="shared" si="91"/>
        <v>0.62752567849467167</v>
      </c>
      <c r="J285">
        <f t="shared" si="92"/>
        <v>3</v>
      </c>
    </row>
    <row r="286" spans="1:10" x14ac:dyDescent="0.2">
      <c r="A286" t="s">
        <v>40</v>
      </c>
      <c r="B286">
        <f>Processing_index!$T$14</f>
        <v>0.10718623435529315</v>
      </c>
      <c r="C286">
        <f>Processing_index!$U$14</f>
        <v>0.28034164118021382</v>
      </c>
      <c r="D286">
        <f>Processing_index!$V$14</f>
        <v>0.45739639864411208</v>
      </c>
      <c r="E286">
        <f>Processing_index!$W$14</f>
        <v>0.30622596278339304</v>
      </c>
      <c r="F286">
        <f t="shared" si="88"/>
        <v>0.287787559240753</v>
      </c>
      <c r="G286">
        <f t="shared" si="89"/>
        <v>0.10718623435529315</v>
      </c>
      <c r="H286">
        <f t="shared" si="90"/>
        <v>0.89287449374211725</v>
      </c>
      <c r="I286">
        <f t="shared" si="91"/>
        <v>0.25695817126236692</v>
      </c>
      <c r="J286">
        <f t="shared" si="92"/>
        <v>10</v>
      </c>
    </row>
    <row r="287" spans="1:10" x14ac:dyDescent="0.2">
      <c r="A287" t="s">
        <v>130</v>
      </c>
      <c r="B287">
        <f>Processing_index!$T$15</f>
        <v>0.23417283141449302</v>
      </c>
      <c r="C287">
        <f>Processing_index!$U$15</f>
        <v>0.36886287936698087</v>
      </c>
      <c r="D287">
        <f>Processing_index!$V$15</f>
        <v>0.35816637363864023</v>
      </c>
      <c r="E287">
        <f>Processing_index!$W$15</f>
        <v>0.31068594867071531</v>
      </c>
      <c r="F287">
        <f t="shared" si="88"/>
        <v>0.31797200827270733</v>
      </c>
      <c r="G287">
        <f t="shared" si="89"/>
        <v>0.23417283141449302</v>
      </c>
      <c r="H287">
        <f t="shared" si="90"/>
        <v>0.94366913256579721</v>
      </c>
      <c r="I287">
        <f t="shared" si="91"/>
        <v>0.30006036922691021</v>
      </c>
      <c r="J287">
        <f t="shared" si="92"/>
        <v>9</v>
      </c>
    </row>
    <row r="288" spans="1:10" x14ac:dyDescent="0.2">
      <c r="A288" s="3" t="s">
        <v>242</v>
      </c>
      <c r="B288">
        <f>1-6*SUMPRODUCT((Processing_index!$AF$6:$AF$15-$J$278:$J$287)^2)/(10*(10^2-1))</f>
        <v>0.98787878787878791</v>
      </c>
    </row>
    <row r="289" spans="1:10" x14ac:dyDescent="0.2">
      <c r="A289" s="3" t="s">
        <v>243</v>
      </c>
      <c r="B289">
        <f>SUMPRODUCT(--(Processing_index!$AF$6:$AF$15&lt;&gt;$J$278:$J$287))</f>
        <v>2</v>
      </c>
    </row>
    <row r="291" spans="1:10" x14ac:dyDescent="0.2">
      <c r="A291" s="3" t="s">
        <v>269</v>
      </c>
    </row>
    <row r="292" spans="1:10" x14ac:dyDescent="0.2">
      <c r="A292" s="3" t="s">
        <v>125</v>
      </c>
      <c r="B292" s="3" t="s">
        <v>142</v>
      </c>
      <c r="C292" s="3" t="s">
        <v>163</v>
      </c>
      <c r="D292" s="3" t="s">
        <v>174</v>
      </c>
      <c r="E292" s="3" t="s">
        <v>183</v>
      </c>
      <c r="F292" s="3" t="s">
        <v>208</v>
      </c>
      <c r="G292" s="3" t="s">
        <v>209</v>
      </c>
      <c r="H292" s="3" t="s">
        <v>211</v>
      </c>
      <c r="I292" s="3" t="s">
        <v>212</v>
      </c>
      <c r="J292" s="3" t="s">
        <v>225</v>
      </c>
    </row>
    <row r="293" spans="1:10" x14ac:dyDescent="0.2">
      <c r="A293" t="s">
        <v>59</v>
      </c>
      <c r="B293">
        <f>Processing_index!$S$6</f>
        <v>0.4430279712764193</v>
      </c>
      <c r="C293">
        <f>Processing_index!$U$6</f>
        <v>0.34867747763835871</v>
      </c>
      <c r="D293">
        <f>Processing_index!$V$6</f>
        <v>0.77338574140818706</v>
      </c>
      <c r="E293">
        <f>Processing_index!$W$6</f>
        <v>0.52377838567197033</v>
      </c>
      <c r="F293">
        <f t="shared" ref="F293:F302" si="93">AVERAGE(B293:E293)</f>
        <v>0.5222173939987339</v>
      </c>
      <c r="G293">
        <f t="shared" ref="G293:G302" si="94">MIN(B293:E293)</f>
        <v>0.34867747763835871</v>
      </c>
      <c r="H293">
        <f t="shared" ref="H293:H302" si="95">1-alpha*MAX(0,delta-G293)</f>
        <v>0.98947099105534353</v>
      </c>
      <c r="I293">
        <f t="shared" ref="I293:I302" si="96">F293*H293</f>
        <v>0.51671896238626602</v>
      </c>
      <c r="J293">
        <f t="shared" ref="J293:J302" si="97">1+COUNTIF($I$293:$I$302,"&gt;"&amp;I293)</f>
        <v>6</v>
      </c>
    </row>
    <row r="294" spans="1:10" x14ac:dyDescent="0.2">
      <c r="A294" t="s">
        <v>51</v>
      </c>
      <c r="B294">
        <f>Processing_index!$S$7</f>
        <v>0.29262275048702674</v>
      </c>
      <c r="C294">
        <f>Processing_index!$U$7</f>
        <v>0.5332085800536488</v>
      </c>
      <c r="D294">
        <f>Processing_index!$V$7</f>
        <v>0.60598341167382808</v>
      </c>
      <c r="E294">
        <f>Processing_index!$W$7</f>
        <v>0.47884894822063589</v>
      </c>
      <c r="F294">
        <f t="shared" si="93"/>
        <v>0.47766592260878488</v>
      </c>
      <c r="G294">
        <f t="shared" si="94"/>
        <v>0.29262275048702674</v>
      </c>
      <c r="H294">
        <f t="shared" si="95"/>
        <v>0.96704910019481072</v>
      </c>
      <c r="I294">
        <f t="shared" si="96"/>
        <v>0.46192640065254953</v>
      </c>
      <c r="J294">
        <f t="shared" si="97"/>
        <v>7</v>
      </c>
    </row>
    <row r="295" spans="1:10" x14ac:dyDescent="0.2">
      <c r="A295" t="s">
        <v>61</v>
      </c>
      <c r="B295">
        <f>Processing_index!$S$8</f>
        <v>0.44050748201577455</v>
      </c>
      <c r="C295">
        <f>Processing_index!$U$8</f>
        <v>0.28762351537264413</v>
      </c>
      <c r="D295">
        <f>Processing_index!$V$8</f>
        <v>0.55737050241713504</v>
      </c>
      <c r="E295">
        <f>Processing_index!$W$8</f>
        <v>0.37810403578378637</v>
      </c>
      <c r="F295">
        <f t="shared" si="93"/>
        <v>0.41590138389733505</v>
      </c>
      <c r="G295">
        <f t="shared" si="94"/>
        <v>0.28762351537264413</v>
      </c>
      <c r="H295">
        <f t="shared" si="95"/>
        <v>0.96504940614905765</v>
      </c>
      <c r="I295">
        <f t="shared" si="96"/>
        <v>0.40136538354669443</v>
      </c>
      <c r="J295">
        <f t="shared" si="97"/>
        <v>8</v>
      </c>
    </row>
    <row r="296" spans="1:10" x14ac:dyDescent="0.2">
      <c r="A296" t="s">
        <v>42</v>
      </c>
      <c r="B296">
        <f>Processing_index!$S$9</f>
        <v>0.56305678509086798</v>
      </c>
      <c r="C296">
        <f>Processing_index!$U$9</f>
        <v>0.67117889658153684</v>
      </c>
      <c r="D296">
        <f>Processing_index!$V$9</f>
        <v>0.72541215670263681</v>
      </c>
      <c r="E296">
        <f>Processing_index!$W$9</f>
        <v>0.81207893092012473</v>
      </c>
      <c r="F296">
        <f t="shared" si="93"/>
        <v>0.69293169232379159</v>
      </c>
      <c r="G296">
        <f t="shared" si="94"/>
        <v>0.56305678509086798</v>
      </c>
      <c r="H296">
        <f t="shared" si="95"/>
        <v>1</v>
      </c>
      <c r="I296">
        <f t="shared" si="96"/>
        <v>0.69293169232379159</v>
      </c>
      <c r="J296">
        <f t="shared" si="97"/>
        <v>2</v>
      </c>
    </row>
    <row r="297" spans="1:10" x14ac:dyDescent="0.2">
      <c r="A297" t="s">
        <v>64</v>
      </c>
      <c r="B297">
        <f>Processing_index!$S$10</f>
        <v>0.35071163000096101</v>
      </c>
      <c r="C297">
        <f>Processing_index!$U$10</f>
        <v>0.60004571329783574</v>
      </c>
      <c r="D297">
        <f>Processing_index!$V$10</f>
        <v>0.55285895708554278</v>
      </c>
      <c r="E297">
        <f>Processing_index!$W$10</f>
        <v>0.62284485524938493</v>
      </c>
      <c r="F297">
        <f t="shared" si="93"/>
        <v>0.53161528890843113</v>
      </c>
      <c r="G297">
        <f t="shared" si="94"/>
        <v>0.35071163000096101</v>
      </c>
      <c r="H297">
        <f t="shared" si="95"/>
        <v>0.9902846520003844</v>
      </c>
      <c r="I297">
        <f t="shared" si="96"/>
        <v>0.52645046137476958</v>
      </c>
      <c r="J297">
        <f t="shared" si="97"/>
        <v>5</v>
      </c>
    </row>
    <row r="298" spans="1:10" x14ac:dyDescent="0.2">
      <c r="A298" t="s">
        <v>54</v>
      </c>
      <c r="B298">
        <f>Processing_index!$S$11</f>
        <v>0.69463420725364811</v>
      </c>
      <c r="C298">
        <f>Processing_index!$U$11</f>
        <v>0.75697314098589785</v>
      </c>
      <c r="D298">
        <f>Processing_index!$V$11</f>
        <v>0.8994049098912259</v>
      </c>
      <c r="E298">
        <f>Processing_index!$W$11</f>
        <v>0.88061902134286851</v>
      </c>
      <c r="F298">
        <f t="shared" si="93"/>
        <v>0.80790781986841009</v>
      </c>
      <c r="G298">
        <f t="shared" si="94"/>
        <v>0.69463420725364811</v>
      </c>
      <c r="H298">
        <f t="shared" si="95"/>
        <v>1</v>
      </c>
      <c r="I298">
        <f t="shared" si="96"/>
        <v>0.80790781986841009</v>
      </c>
      <c r="J298">
        <f t="shared" si="97"/>
        <v>1</v>
      </c>
    </row>
    <row r="299" spans="1:10" x14ac:dyDescent="0.2">
      <c r="A299" t="s">
        <v>56</v>
      </c>
      <c r="B299">
        <f>Processing_index!$S$12</f>
        <v>0.71082122228055045</v>
      </c>
      <c r="C299">
        <f>Processing_index!$U$12</f>
        <v>0.5611371100196817</v>
      </c>
      <c r="D299">
        <f>Processing_index!$V$12</f>
        <v>0.70371201818939955</v>
      </c>
      <c r="E299">
        <f>Processing_index!$W$12</f>
        <v>0.59637572515620552</v>
      </c>
      <c r="F299">
        <f t="shared" si="93"/>
        <v>0.64301151891145925</v>
      </c>
      <c r="G299">
        <f t="shared" si="94"/>
        <v>0.5611371100196817</v>
      </c>
      <c r="H299">
        <f t="shared" si="95"/>
        <v>1</v>
      </c>
      <c r="I299">
        <f t="shared" si="96"/>
        <v>0.64301151891145925</v>
      </c>
      <c r="J299">
        <f t="shared" si="97"/>
        <v>4</v>
      </c>
    </row>
    <row r="300" spans="1:10" x14ac:dyDescent="0.2">
      <c r="A300" t="s">
        <v>45</v>
      </c>
      <c r="B300">
        <f>Processing_index!$S$13</f>
        <v>0.57839515879101233</v>
      </c>
      <c r="C300">
        <f>Processing_index!$U$13</f>
        <v>0.62584075418150009</v>
      </c>
      <c r="D300">
        <f>Processing_index!$V$13</f>
        <v>0.90826853207809577</v>
      </c>
      <c r="E300">
        <f>Processing_index!$W$13</f>
        <v>0.61094534851133464</v>
      </c>
      <c r="F300">
        <f t="shared" si="93"/>
        <v>0.68086244839048571</v>
      </c>
      <c r="G300">
        <f t="shared" si="94"/>
        <v>0.57839515879101233</v>
      </c>
      <c r="H300">
        <f t="shared" si="95"/>
        <v>1</v>
      </c>
      <c r="I300">
        <f t="shared" si="96"/>
        <v>0.68086244839048571</v>
      </c>
      <c r="J300">
        <f t="shared" si="97"/>
        <v>3</v>
      </c>
    </row>
    <row r="301" spans="1:10" x14ac:dyDescent="0.2">
      <c r="A301" t="s">
        <v>40</v>
      </c>
      <c r="B301">
        <f>Processing_index!$S$14</f>
        <v>0.21832676937677528</v>
      </c>
      <c r="C301">
        <f>Processing_index!$U$14</f>
        <v>0.28034164118021382</v>
      </c>
      <c r="D301">
        <f>Processing_index!$V$14</f>
        <v>0.45739639864411208</v>
      </c>
      <c r="E301">
        <f>Processing_index!$W$14</f>
        <v>0.30622596278339304</v>
      </c>
      <c r="F301">
        <f t="shared" si="93"/>
        <v>0.31557269299612356</v>
      </c>
      <c r="G301">
        <f t="shared" si="94"/>
        <v>0.21832676937677528</v>
      </c>
      <c r="H301">
        <f t="shared" si="95"/>
        <v>0.93733070775071015</v>
      </c>
      <c r="I301">
        <f t="shared" si="96"/>
        <v>0.29579597567285409</v>
      </c>
      <c r="J301">
        <f t="shared" si="97"/>
        <v>9</v>
      </c>
    </row>
    <row r="302" spans="1:10" x14ac:dyDescent="0.2">
      <c r="A302" t="s">
        <v>130</v>
      </c>
      <c r="B302">
        <f>Processing_index!$S$15</f>
        <v>0.17392266674442028</v>
      </c>
      <c r="C302">
        <f>Processing_index!$U$15</f>
        <v>0.36886287936698087</v>
      </c>
      <c r="D302">
        <f>Processing_index!$V$15</f>
        <v>0.35816637363864023</v>
      </c>
      <c r="E302">
        <f>Processing_index!$W$15</f>
        <v>0.31068594867071531</v>
      </c>
      <c r="F302">
        <f t="shared" si="93"/>
        <v>0.30290946710518918</v>
      </c>
      <c r="G302">
        <f t="shared" si="94"/>
        <v>0.17392266674442028</v>
      </c>
      <c r="H302">
        <f t="shared" si="95"/>
        <v>0.91956906669776806</v>
      </c>
      <c r="I302">
        <f t="shared" si="96"/>
        <v>0.27854617595983711</v>
      </c>
      <c r="J302">
        <f t="shared" si="97"/>
        <v>10</v>
      </c>
    </row>
    <row r="303" spans="1:10" x14ac:dyDescent="0.2">
      <c r="A303" s="3" t="s">
        <v>242</v>
      </c>
      <c r="B303">
        <f>1-6*SUMPRODUCT((Processing_index!$AF$6:$AF$15-$J$293:$J$302)^2)/(10*(10^2-1))</f>
        <v>0.97575757575757571</v>
      </c>
    </row>
    <row r="304" spans="1:10" x14ac:dyDescent="0.2">
      <c r="A304" s="3" t="s">
        <v>243</v>
      </c>
      <c r="B304">
        <f>SUMPRODUCT(--(Processing_index!$AF$6:$AF$15&lt;&gt;$J$293:$J$302))</f>
        <v>4</v>
      </c>
    </row>
    <row r="306" spans="1:10" x14ac:dyDescent="0.2">
      <c r="A306" s="3" t="s">
        <v>270</v>
      </c>
    </row>
    <row r="307" spans="1:10" x14ac:dyDescent="0.2">
      <c r="A307" s="3" t="s">
        <v>125</v>
      </c>
      <c r="B307" s="3" t="s">
        <v>142</v>
      </c>
      <c r="C307" s="3" t="s">
        <v>156</v>
      </c>
      <c r="D307" s="3" t="s">
        <v>174</v>
      </c>
      <c r="E307" s="3" t="s">
        <v>183</v>
      </c>
      <c r="F307" s="3" t="s">
        <v>208</v>
      </c>
      <c r="G307" s="3" t="s">
        <v>209</v>
      </c>
      <c r="H307" s="3" t="s">
        <v>211</v>
      </c>
      <c r="I307" s="3" t="s">
        <v>212</v>
      </c>
      <c r="J307" s="3" t="s">
        <v>225</v>
      </c>
    </row>
    <row r="308" spans="1:10" x14ac:dyDescent="0.2">
      <c r="A308" t="s">
        <v>59</v>
      </c>
      <c r="B308">
        <f>Processing_index!$S$6</f>
        <v>0.4430279712764193</v>
      </c>
      <c r="C308">
        <f>Processing_index!$T$6</f>
        <v>0.62846775225416951</v>
      </c>
      <c r="D308">
        <f>Processing_index!$V$6</f>
        <v>0.77338574140818706</v>
      </c>
      <c r="E308">
        <f>Processing_index!$W$6</f>
        <v>0.52377838567197033</v>
      </c>
      <c r="F308">
        <f t="shared" ref="F308:F317" si="98">AVERAGE(B308:E308)</f>
        <v>0.59216496265268659</v>
      </c>
      <c r="G308">
        <f t="shared" ref="G308:G317" si="99">MIN(B308:E308)</f>
        <v>0.4430279712764193</v>
      </c>
      <c r="H308">
        <f t="shared" ref="H308:H317" si="100">1-alpha*MAX(0,delta-G308)</f>
        <v>1</v>
      </c>
      <c r="I308">
        <f t="shared" ref="I308:I317" si="101">F308*H308</f>
        <v>0.59216496265268659</v>
      </c>
      <c r="J308">
        <f t="shared" ref="J308:J317" si="102">1+COUNTIF($I$308:$I$317,"&gt;"&amp;I308)</f>
        <v>4</v>
      </c>
    </row>
    <row r="309" spans="1:10" x14ac:dyDescent="0.2">
      <c r="A309" t="s">
        <v>51</v>
      </c>
      <c r="B309">
        <f>Processing_index!$S$7</f>
        <v>0.29262275048702674</v>
      </c>
      <c r="C309">
        <f>Processing_index!$T$7</f>
        <v>0.29587345968346318</v>
      </c>
      <c r="D309">
        <f>Processing_index!$V$7</f>
        <v>0.60598341167382808</v>
      </c>
      <c r="E309">
        <f>Processing_index!$W$7</f>
        <v>0.47884894822063589</v>
      </c>
      <c r="F309">
        <f t="shared" si="98"/>
        <v>0.41833214251623851</v>
      </c>
      <c r="G309">
        <f t="shared" si="99"/>
        <v>0.29262275048702674</v>
      </c>
      <c r="H309">
        <f t="shared" si="100"/>
        <v>0.96704910019481072</v>
      </c>
      <c r="I309">
        <f t="shared" si="101"/>
        <v>0.40454772200289579</v>
      </c>
      <c r="J309">
        <f t="shared" si="102"/>
        <v>7</v>
      </c>
    </row>
    <row r="310" spans="1:10" x14ac:dyDescent="0.2">
      <c r="A310" t="s">
        <v>61</v>
      </c>
      <c r="B310">
        <f>Processing_index!$S$8</f>
        <v>0.44050748201577455</v>
      </c>
      <c r="C310">
        <f>Processing_index!$T$8</f>
        <v>0.24148819253858789</v>
      </c>
      <c r="D310">
        <f>Processing_index!$V$8</f>
        <v>0.55737050241713504</v>
      </c>
      <c r="E310">
        <f>Processing_index!$W$8</f>
        <v>0.37810403578378637</v>
      </c>
      <c r="F310">
        <f t="shared" si="98"/>
        <v>0.40436755318882095</v>
      </c>
      <c r="G310">
        <f t="shared" si="99"/>
        <v>0.24148819253858789</v>
      </c>
      <c r="H310">
        <f t="shared" si="100"/>
        <v>0.94659527701543511</v>
      </c>
      <c r="I310">
        <f t="shared" si="101"/>
        <v>0.38277241602682566</v>
      </c>
      <c r="J310">
        <f t="shared" si="102"/>
        <v>8</v>
      </c>
    </row>
    <row r="311" spans="1:10" x14ac:dyDescent="0.2">
      <c r="A311" t="s">
        <v>42</v>
      </c>
      <c r="B311">
        <f>Processing_index!$S$9</f>
        <v>0.56305678509086798</v>
      </c>
      <c r="C311">
        <f>Processing_index!$T$9</f>
        <v>0.44228904942330344</v>
      </c>
      <c r="D311">
        <f>Processing_index!$V$9</f>
        <v>0.72541215670263681</v>
      </c>
      <c r="E311">
        <f>Processing_index!$W$9</f>
        <v>0.81207893092012473</v>
      </c>
      <c r="F311">
        <f t="shared" si="98"/>
        <v>0.63570923053423323</v>
      </c>
      <c r="G311">
        <f t="shared" si="99"/>
        <v>0.44228904942330344</v>
      </c>
      <c r="H311">
        <f t="shared" si="100"/>
        <v>1</v>
      </c>
      <c r="I311">
        <f t="shared" si="101"/>
        <v>0.63570923053423323</v>
      </c>
      <c r="J311">
        <f t="shared" si="102"/>
        <v>2</v>
      </c>
    </row>
    <row r="312" spans="1:10" x14ac:dyDescent="0.2">
      <c r="A312" t="s">
        <v>64</v>
      </c>
      <c r="B312">
        <f>Processing_index!$S$10</f>
        <v>0.35071163000096101</v>
      </c>
      <c r="C312">
        <f>Processing_index!$T$10</f>
        <v>0.23499113477492253</v>
      </c>
      <c r="D312">
        <f>Processing_index!$V$10</f>
        <v>0.55285895708554278</v>
      </c>
      <c r="E312">
        <f>Processing_index!$W$10</f>
        <v>0.62284485524938493</v>
      </c>
      <c r="F312">
        <f t="shared" si="98"/>
        <v>0.44035164427770279</v>
      </c>
      <c r="G312">
        <f t="shared" si="99"/>
        <v>0.23499113477492253</v>
      </c>
      <c r="H312">
        <f t="shared" si="100"/>
        <v>0.943996453909969</v>
      </c>
      <c r="I312">
        <f t="shared" si="101"/>
        <v>0.41569039067157554</v>
      </c>
      <c r="J312">
        <f t="shared" si="102"/>
        <v>6</v>
      </c>
    </row>
    <row r="313" spans="1:10" x14ac:dyDescent="0.2">
      <c r="A313" t="s">
        <v>54</v>
      </c>
      <c r="B313">
        <f>Processing_index!$S$11</f>
        <v>0.69463420725364811</v>
      </c>
      <c r="C313">
        <f>Processing_index!$T$11</f>
        <v>0.39037289108176643</v>
      </c>
      <c r="D313">
        <f>Processing_index!$V$11</f>
        <v>0.8994049098912259</v>
      </c>
      <c r="E313">
        <f>Processing_index!$W$11</f>
        <v>0.88061902134286851</v>
      </c>
      <c r="F313">
        <f t="shared" si="98"/>
        <v>0.71625775739237729</v>
      </c>
      <c r="G313">
        <f t="shared" si="99"/>
        <v>0.39037289108176643</v>
      </c>
      <c r="H313">
        <f t="shared" si="100"/>
        <v>1</v>
      </c>
      <c r="I313">
        <f t="shared" si="101"/>
        <v>0.71625775739237729</v>
      </c>
      <c r="J313">
        <f t="shared" si="102"/>
        <v>1</v>
      </c>
    </row>
    <row r="314" spans="1:10" x14ac:dyDescent="0.2">
      <c r="A314" t="s">
        <v>56</v>
      </c>
      <c r="B314">
        <f>Processing_index!$S$12</f>
        <v>0.71082122228055045</v>
      </c>
      <c r="C314">
        <f>Processing_index!$T$12</f>
        <v>0.26817044733481826</v>
      </c>
      <c r="D314">
        <f>Processing_index!$V$12</f>
        <v>0.70371201818939955</v>
      </c>
      <c r="E314">
        <f>Processing_index!$W$12</f>
        <v>0.59637572515620552</v>
      </c>
      <c r="F314">
        <f t="shared" si="98"/>
        <v>0.56976985324024343</v>
      </c>
      <c r="G314">
        <f t="shared" si="99"/>
        <v>0.26817044733481826</v>
      </c>
      <c r="H314">
        <f t="shared" si="100"/>
        <v>0.95726817893392735</v>
      </c>
      <c r="I314">
        <f t="shared" si="101"/>
        <v>0.54542254982273886</v>
      </c>
      <c r="J314">
        <f t="shared" si="102"/>
        <v>5</v>
      </c>
    </row>
    <row r="315" spans="1:10" x14ac:dyDescent="0.2">
      <c r="A315" t="s">
        <v>45</v>
      </c>
      <c r="B315">
        <f>Processing_index!$S$13</f>
        <v>0.57839515879101233</v>
      </c>
      <c r="C315">
        <f>Processing_index!$T$13</f>
        <v>0.37003901547693341</v>
      </c>
      <c r="D315">
        <f>Processing_index!$V$13</f>
        <v>0.90826853207809577</v>
      </c>
      <c r="E315">
        <f>Processing_index!$W$13</f>
        <v>0.61094534851133464</v>
      </c>
      <c r="F315">
        <f t="shared" si="98"/>
        <v>0.61691201371434401</v>
      </c>
      <c r="G315">
        <f t="shared" si="99"/>
        <v>0.37003901547693341</v>
      </c>
      <c r="H315">
        <f t="shared" si="100"/>
        <v>0.99801560619077334</v>
      </c>
      <c r="I315">
        <f t="shared" si="101"/>
        <v>0.61568781733349176</v>
      </c>
      <c r="J315">
        <f t="shared" si="102"/>
        <v>3</v>
      </c>
    </row>
    <row r="316" spans="1:10" x14ac:dyDescent="0.2">
      <c r="A316" t="s">
        <v>40</v>
      </c>
      <c r="B316">
        <f>Processing_index!$S$14</f>
        <v>0.21832676937677528</v>
      </c>
      <c r="C316">
        <f>Processing_index!$T$14</f>
        <v>0.10718623435529315</v>
      </c>
      <c r="D316">
        <f>Processing_index!$V$14</f>
        <v>0.45739639864411208</v>
      </c>
      <c r="E316">
        <f>Processing_index!$W$14</f>
        <v>0.30622596278339304</v>
      </c>
      <c r="F316">
        <f t="shared" si="98"/>
        <v>0.27228384128989336</v>
      </c>
      <c r="G316">
        <f t="shared" si="99"/>
        <v>0.10718623435529315</v>
      </c>
      <c r="H316">
        <f t="shared" si="100"/>
        <v>0.89287449374211725</v>
      </c>
      <c r="I316">
        <f t="shared" si="101"/>
        <v>0.24311529694587253</v>
      </c>
      <c r="J316">
        <f t="shared" si="102"/>
        <v>10</v>
      </c>
    </row>
    <row r="317" spans="1:10" x14ac:dyDescent="0.2">
      <c r="A317" t="s">
        <v>130</v>
      </c>
      <c r="B317">
        <f>Processing_index!$S$15</f>
        <v>0.17392266674442028</v>
      </c>
      <c r="C317">
        <f>Processing_index!$T$15</f>
        <v>0.23417283141449302</v>
      </c>
      <c r="D317">
        <f>Processing_index!$V$15</f>
        <v>0.35816637363864023</v>
      </c>
      <c r="E317">
        <f>Processing_index!$W$15</f>
        <v>0.31068594867071531</v>
      </c>
      <c r="F317">
        <f t="shared" si="98"/>
        <v>0.26923695511706724</v>
      </c>
      <c r="G317">
        <f t="shared" si="99"/>
        <v>0.17392266674442028</v>
      </c>
      <c r="H317">
        <f t="shared" si="100"/>
        <v>0.91956906669776806</v>
      </c>
      <c r="I317">
        <f t="shared" si="101"/>
        <v>0.2475819755375504</v>
      </c>
      <c r="J317">
        <f t="shared" si="102"/>
        <v>9</v>
      </c>
    </row>
    <row r="318" spans="1:10" x14ac:dyDescent="0.2">
      <c r="A318" s="3" t="s">
        <v>242</v>
      </c>
      <c r="B318">
        <f>1-6*SUMPRODUCT((Processing_index!$AF$6:$AF$15-$J$308:$J$317)^2)/(10*(10^2-1))</f>
        <v>0.98787878787878791</v>
      </c>
    </row>
    <row r="319" spans="1:10" x14ac:dyDescent="0.2">
      <c r="A319" s="3" t="s">
        <v>243</v>
      </c>
      <c r="B319">
        <f>SUMPRODUCT(--(Processing_index!$AF$6:$AF$15&lt;&gt;$J$308:$J$317))</f>
        <v>2</v>
      </c>
    </row>
    <row r="321" spans="1:10" x14ac:dyDescent="0.2">
      <c r="A321" s="3" t="s">
        <v>271</v>
      </c>
    </row>
    <row r="322" spans="1:10" x14ac:dyDescent="0.2">
      <c r="A322" s="3" t="s">
        <v>125</v>
      </c>
      <c r="B322" s="3" t="s">
        <v>142</v>
      </c>
      <c r="C322" s="3" t="s">
        <v>156</v>
      </c>
      <c r="D322" s="3" t="s">
        <v>163</v>
      </c>
      <c r="E322" s="3" t="s">
        <v>183</v>
      </c>
      <c r="F322" s="3" t="s">
        <v>208</v>
      </c>
      <c r="G322" s="3" t="s">
        <v>209</v>
      </c>
      <c r="H322" s="3" t="s">
        <v>211</v>
      </c>
      <c r="I322" s="3" t="s">
        <v>212</v>
      </c>
      <c r="J322" s="3" t="s">
        <v>225</v>
      </c>
    </row>
    <row r="323" spans="1:10" x14ac:dyDescent="0.2">
      <c r="A323" t="s">
        <v>59</v>
      </c>
      <c r="B323">
        <f>Processing_index!$S$6</f>
        <v>0.4430279712764193</v>
      </c>
      <c r="C323">
        <f>Processing_index!$T$6</f>
        <v>0.62846775225416951</v>
      </c>
      <c r="D323">
        <f>Processing_index!$U$6</f>
        <v>0.34867747763835871</v>
      </c>
      <c r="E323">
        <f>Processing_index!$W$6</f>
        <v>0.52377838567197033</v>
      </c>
      <c r="F323">
        <f t="shared" ref="F323:F332" si="103">AVERAGE(B323:E323)</f>
        <v>0.48598789671022946</v>
      </c>
      <c r="G323">
        <f t="shared" ref="G323:G332" si="104">MIN(B323:E323)</f>
        <v>0.34867747763835871</v>
      </c>
      <c r="H323">
        <f t="shared" ref="H323:H332" si="105">1-alpha*MAX(0,delta-G323)</f>
        <v>0.98947099105534353</v>
      </c>
      <c r="I323">
        <f t="shared" ref="I323:I332" si="106">F323*H323</f>
        <v>0.48087092579877266</v>
      </c>
      <c r="J323">
        <f t="shared" ref="J323:J332" si="107">1+COUNTIF($I$323:$I$332,"&gt;"&amp;I323)</f>
        <v>5</v>
      </c>
    </row>
    <row r="324" spans="1:10" x14ac:dyDescent="0.2">
      <c r="A324" t="s">
        <v>51</v>
      </c>
      <c r="B324">
        <f>Processing_index!$S$7</f>
        <v>0.29262275048702674</v>
      </c>
      <c r="C324">
        <f>Processing_index!$T$7</f>
        <v>0.29587345968346318</v>
      </c>
      <c r="D324">
        <f>Processing_index!$U$7</f>
        <v>0.5332085800536488</v>
      </c>
      <c r="E324">
        <f>Processing_index!$W$7</f>
        <v>0.47884894822063589</v>
      </c>
      <c r="F324">
        <f t="shared" si="103"/>
        <v>0.40013843461119369</v>
      </c>
      <c r="G324">
        <f t="shared" si="104"/>
        <v>0.29262275048702674</v>
      </c>
      <c r="H324">
        <f t="shared" si="105"/>
        <v>0.96704910019481072</v>
      </c>
      <c r="I324">
        <f t="shared" si="106"/>
        <v>0.38695351314411497</v>
      </c>
      <c r="J324">
        <f t="shared" si="107"/>
        <v>7</v>
      </c>
    </row>
    <row r="325" spans="1:10" x14ac:dyDescent="0.2">
      <c r="A325" t="s">
        <v>61</v>
      </c>
      <c r="B325">
        <f>Processing_index!$S$8</f>
        <v>0.44050748201577455</v>
      </c>
      <c r="C325">
        <f>Processing_index!$T$8</f>
        <v>0.24148819253858789</v>
      </c>
      <c r="D325">
        <f>Processing_index!$U$8</f>
        <v>0.28762351537264413</v>
      </c>
      <c r="E325">
        <f>Processing_index!$W$8</f>
        <v>0.37810403578378637</v>
      </c>
      <c r="F325">
        <f t="shared" si="103"/>
        <v>0.33693080642769824</v>
      </c>
      <c r="G325">
        <f t="shared" si="104"/>
        <v>0.24148819253858789</v>
      </c>
      <c r="H325">
        <f t="shared" si="105"/>
        <v>0.94659527701543511</v>
      </c>
      <c r="I325">
        <f t="shared" si="106"/>
        <v>0.31893711004546094</v>
      </c>
      <c r="J325">
        <f t="shared" si="107"/>
        <v>8</v>
      </c>
    </row>
    <row r="326" spans="1:10" x14ac:dyDescent="0.2">
      <c r="A326" t="s">
        <v>42</v>
      </c>
      <c r="B326">
        <f>Processing_index!$S$9</f>
        <v>0.56305678509086798</v>
      </c>
      <c r="C326">
        <f>Processing_index!$T$9</f>
        <v>0.44228904942330344</v>
      </c>
      <c r="D326">
        <f>Processing_index!$U$9</f>
        <v>0.67117889658153684</v>
      </c>
      <c r="E326">
        <f>Processing_index!$W$9</f>
        <v>0.81207893092012473</v>
      </c>
      <c r="F326">
        <f t="shared" si="103"/>
        <v>0.62215091550395829</v>
      </c>
      <c r="G326">
        <f t="shared" si="104"/>
        <v>0.44228904942330344</v>
      </c>
      <c r="H326">
        <f t="shared" si="105"/>
        <v>1</v>
      </c>
      <c r="I326">
        <f t="shared" si="106"/>
        <v>0.62215091550395829</v>
      </c>
      <c r="J326">
        <f t="shared" si="107"/>
        <v>2</v>
      </c>
    </row>
    <row r="327" spans="1:10" x14ac:dyDescent="0.2">
      <c r="A327" t="s">
        <v>64</v>
      </c>
      <c r="B327">
        <f>Processing_index!$S$10</f>
        <v>0.35071163000096101</v>
      </c>
      <c r="C327">
        <f>Processing_index!$T$10</f>
        <v>0.23499113477492253</v>
      </c>
      <c r="D327">
        <f>Processing_index!$U$10</f>
        <v>0.60004571329783574</v>
      </c>
      <c r="E327">
        <f>Processing_index!$W$10</f>
        <v>0.62284485524938493</v>
      </c>
      <c r="F327">
        <f t="shared" si="103"/>
        <v>0.45214833333077609</v>
      </c>
      <c r="G327">
        <f t="shared" si="104"/>
        <v>0.23499113477492253</v>
      </c>
      <c r="H327">
        <f t="shared" si="105"/>
        <v>0.943996453909969</v>
      </c>
      <c r="I327">
        <f t="shared" si="106"/>
        <v>0.42682642330555526</v>
      </c>
      <c r="J327">
        <f t="shared" si="107"/>
        <v>6</v>
      </c>
    </row>
    <row r="328" spans="1:10" x14ac:dyDescent="0.2">
      <c r="A328" t="s">
        <v>54</v>
      </c>
      <c r="B328">
        <f>Processing_index!$S$11</f>
        <v>0.69463420725364811</v>
      </c>
      <c r="C328">
        <f>Processing_index!$T$11</f>
        <v>0.39037289108176643</v>
      </c>
      <c r="D328">
        <f>Processing_index!$U$11</f>
        <v>0.75697314098589785</v>
      </c>
      <c r="E328">
        <f>Processing_index!$W$11</f>
        <v>0.88061902134286851</v>
      </c>
      <c r="F328">
        <f t="shared" si="103"/>
        <v>0.68064981516604528</v>
      </c>
      <c r="G328">
        <f t="shared" si="104"/>
        <v>0.39037289108176643</v>
      </c>
      <c r="H328">
        <f t="shared" si="105"/>
        <v>1</v>
      </c>
      <c r="I328">
        <f t="shared" si="106"/>
        <v>0.68064981516604528</v>
      </c>
      <c r="J328">
        <f t="shared" si="107"/>
        <v>1</v>
      </c>
    </row>
    <row r="329" spans="1:10" x14ac:dyDescent="0.2">
      <c r="A329" t="s">
        <v>56</v>
      </c>
      <c r="B329">
        <f>Processing_index!$S$12</f>
        <v>0.71082122228055045</v>
      </c>
      <c r="C329">
        <f>Processing_index!$T$12</f>
        <v>0.26817044733481826</v>
      </c>
      <c r="D329">
        <f>Processing_index!$U$12</f>
        <v>0.5611371100196817</v>
      </c>
      <c r="E329">
        <f>Processing_index!$W$12</f>
        <v>0.59637572515620552</v>
      </c>
      <c r="F329">
        <f t="shared" si="103"/>
        <v>0.53412612619781397</v>
      </c>
      <c r="G329">
        <f t="shared" si="104"/>
        <v>0.26817044733481826</v>
      </c>
      <c r="H329">
        <f t="shared" si="105"/>
        <v>0.95726817893392735</v>
      </c>
      <c r="I329">
        <f t="shared" si="106"/>
        <v>0.51130194414641439</v>
      </c>
      <c r="J329">
        <f t="shared" si="107"/>
        <v>4</v>
      </c>
    </row>
    <row r="330" spans="1:10" x14ac:dyDescent="0.2">
      <c r="A330" t="s">
        <v>45</v>
      </c>
      <c r="B330">
        <f>Processing_index!$S$13</f>
        <v>0.57839515879101233</v>
      </c>
      <c r="C330">
        <f>Processing_index!$T$13</f>
        <v>0.37003901547693341</v>
      </c>
      <c r="D330">
        <f>Processing_index!$U$13</f>
        <v>0.62584075418150009</v>
      </c>
      <c r="E330">
        <f>Processing_index!$W$13</f>
        <v>0.61094534851133464</v>
      </c>
      <c r="F330">
        <f t="shared" si="103"/>
        <v>0.54630506924019506</v>
      </c>
      <c r="G330">
        <f t="shared" si="104"/>
        <v>0.37003901547693341</v>
      </c>
      <c r="H330">
        <f t="shared" si="105"/>
        <v>0.99801560619077334</v>
      </c>
      <c r="I330">
        <f t="shared" si="106"/>
        <v>0.54522098484284565</v>
      </c>
      <c r="J330">
        <f t="shared" si="107"/>
        <v>3</v>
      </c>
    </row>
    <row r="331" spans="1:10" x14ac:dyDescent="0.2">
      <c r="A331" t="s">
        <v>40</v>
      </c>
      <c r="B331">
        <f>Processing_index!$S$14</f>
        <v>0.21832676937677528</v>
      </c>
      <c r="C331">
        <f>Processing_index!$T$14</f>
        <v>0.10718623435529315</v>
      </c>
      <c r="D331">
        <f>Processing_index!$U$14</f>
        <v>0.28034164118021382</v>
      </c>
      <c r="E331">
        <f>Processing_index!$W$14</f>
        <v>0.30622596278339304</v>
      </c>
      <c r="F331">
        <f t="shared" si="103"/>
        <v>0.22802015192391883</v>
      </c>
      <c r="G331">
        <f t="shared" si="104"/>
        <v>0.10718623435529315</v>
      </c>
      <c r="H331">
        <f t="shared" si="105"/>
        <v>0.89287449374211725</v>
      </c>
      <c r="I331">
        <f t="shared" si="106"/>
        <v>0.2035933777120697</v>
      </c>
      <c r="J331">
        <f t="shared" si="107"/>
        <v>10</v>
      </c>
    </row>
    <row r="332" spans="1:10" x14ac:dyDescent="0.2">
      <c r="A332" t="s">
        <v>130</v>
      </c>
      <c r="B332">
        <f>Processing_index!$S$15</f>
        <v>0.17392266674442028</v>
      </c>
      <c r="C332">
        <f>Processing_index!$T$15</f>
        <v>0.23417283141449302</v>
      </c>
      <c r="D332">
        <f>Processing_index!$U$15</f>
        <v>0.36886287936698087</v>
      </c>
      <c r="E332">
        <f>Processing_index!$W$15</f>
        <v>0.31068594867071531</v>
      </c>
      <c r="F332">
        <f t="shared" si="103"/>
        <v>0.27191108154915233</v>
      </c>
      <c r="G332">
        <f t="shared" si="104"/>
        <v>0.17392266674442028</v>
      </c>
      <c r="H332">
        <f t="shared" si="105"/>
        <v>0.91956906669776806</v>
      </c>
      <c r="I332">
        <f t="shared" si="106"/>
        <v>0.25004101948493473</v>
      </c>
      <c r="J332">
        <f t="shared" si="107"/>
        <v>9</v>
      </c>
    </row>
    <row r="333" spans="1:10" x14ac:dyDescent="0.2">
      <c r="A333" s="3" t="s">
        <v>242</v>
      </c>
      <c r="B333">
        <f>1-6*SUMPRODUCT((Processing_index!$AF$6:$AF$15-$J$323:$J$332)^2)/(10*(10^2-1))</f>
        <v>1</v>
      </c>
    </row>
    <row r="334" spans="1:10" x14ac:dyDescent="0.2">
      <c r="A334" s="3" t="s">
        <v>243</v>
      </c>
      <c r="B334">
        <f>SUMPRODUCT(--(Processing_index!$AF$6:$AF$15&lt;&gt;$J$323:$J$332))</f>
        <v>0</v>
      </c>
    </row>
    <row r="336" spans="1:10" x14ac:dyDescent="0.2">
      <c r="A336" s="3" t="s">
        <v>272</v>
      </c>
    </row>
    <row r="337" spans="1:14" x14ac:dyDescent="0.2">
      <c r="A337" s="3" t="s">
        <v>125</v>
      </c>
      <c r="B337" s="3" t="s">
        <v>142</v>
      </c>
      <c r="C337" s="3" t="s">
        <v>156</v>
      </c>
      <c r="D337" s="3" t="s">
        <v>163</v>
      </c>
      <c r="E337" s="3" t="s">
        <v>174</v>
      </c>
      <c r="F337" s="3" t="s">
        <v>208</v>
      </c>
      <c r="G337" s="3" t="s">
        <v>209</v>
      </c>
      <c r="H337" s="3" t="s">
        <v>211</v>
      </c>
      <c r="I337" s="3" t="s">
        <v>212</v>
      </c>
      <c r="J337" s="3" t="s">
        <v>225</v>
      </c>
    </row>
    <row r="338" spans="1:14" x14ac:dyDescent="0.2">
      <c r="A338" t="s">
        <v>59</v>
      </c>
      <c r="B338">
        <f>Processing_index!$S$6</f>
        <v>0.4430279712764193</v>
      </c>
      <c r="C338">
        <f>Processing_index!$T$6</f>
        <v>0.62846775225416951</v>
      </c>
      <c r="D338">
        <f>Processing_index!$U$6</f>
        <v>0.34867747763835871</v>
      </c>
      <c r="E338">
        <f>Processing_index!$V$6</f>
        <v>0.77338574140818706</v>
      </c>
      <c r="F338">
        <f t="shared" ref="F338:F347" si="108">AVERAGE(B338:E338)</f>
        <v>0.54838973564428373</v>
      </c>
      <c r="G338">
        <f t="shared" ref="G338:G347" si="109">MIN(B338:E338)</f>
        <v>0.34867747763835871</v>
      </c>
      <c r="H338">
        <f t="shared" ref="H338:H347" si="110">1-alpha*MAX(0,delta-G338)</f>
        <v>0.98947099105534353</v>
      </c>
      <c r="I338">
        <f t="shared" ref="I338:I347" si="111">F338*H338</f>
        <v>0.54261573521252726</v>
      </c>
      <c r="J338">
        <f t="shared" ref="J338:J347" si="112">1+COUNTIF($I$338:$I$347,"&gt;"&amp;I338)</f>
        <v>4</v>
      </c>
    </row>
    <row r="339" spans="1:14" x14ac:dyDescent="0.2">
      <c r="A339" t="s">
        <v>51</v>
      </c>
      <c r="B339">
        <f>Processing_index!$S$7</f>
        <v>0.29262275048702674</v>
      </c>
      <c r="C339">
        <f>Processing_index!$T$7</f>
        <v>0.29587345968346318</v>
      </c>
      <c r="D339">
        <f>Processing_index!$U$7</f>
        <v>0.5332085800536488</v>
      </c>
      <c r="E339">
        <f>Processing_index!$V$7</f>
        <v>0.60598341167382808</v>
      </c>
      <c r="F339">
        <f t="shared" si="108"/>
        <v>0.43192205047449173</v>
      </c>
      <c r="G339">
        <f t="shared" si="109"/>
        <v>0.29262275048702674</v>
      </c>
      <c r="H339">
        <f t="shared" si="110"/>
        <v>0.96704910019481072</v>
      </c>
      <c r="I339">
        <f t="shared" si="111"/>
        <v>0.41768983026565482</v>
      </c>
      <c r="J339">
        <f t="shared" si="112"/>
        <v>6</v>
      </c>
    </row>
    <row r="340" spans="1:14" x14ac:dyDescent="0.2">
      <c r="A340" t="s">
        <v>61</v>
      </c>
      <c r="B340">
        <f>Processing_index!$S$8</f>
        <v>0.44050748201577455</v>
      </c>
      <c r="C340">
        <f>Processing_index!$T$8</f>
        <v>0.24148819253858789</v>
      </c>
      <c r="D340">
        <f>Processing_index!$U$8</f>
        <v>0.28762351537264413</v>
      </c>
      <c r="E340">
        <f>Processing_index!$V$8</f>
        <v>0.55737050241713504</v>
      </c>
      <c r="F340">
        <f t="shared" si="108"/>
        <v>0.38174742308603538</v>
      </c>
      <c r="G340">
        <f t="shared" si="109"/>
        <v>0.24148819253858789</v>
      </c>
      <c r="H340">
        <f t="shared" si="110"/>
        <v>0.94659527701543511</v>
      </c>
      <c r="I340">
        <f t="shared" si="111"/>
        <v>0.36136030770605415</v>
      </c>
      <c r="J340">
        <f t="shared" si="112"/>
        <v>8</v>
      </c>
    </row>
    <row r="341" spans="1:14" x14ac:dyDescent="0.2">
      <c r="A341" t="s">
        <v>42</v>
      </c>
      <c r="B341">
        <f>Processing_index!$S$9</f>
        <v>0.56305678509086798</v>
      </c>
      <c r="C341">
        <f>Processing_index!$T$9</f>
        <v>0.44228904942330344</v>
      </c>
      <c r="D341">
        <f>Processing_index!$U$9</f>
        <v>0.67117889658153684</v>
      </c>
      <c r="E341">
        <f>Processing_index!$V$9</f>
        <v>0.72541215670263681</v>
      </c>
      <c r="F341">
        <f t="shared" si="108"/>
        <v>0.60048422194958628</v>
      </c>
      <c r="G341">
        <f t="shared" si="109"/>
        <v>0.44228904942330344</v>
      </c>
      <c r="H341">
        <f t="shared" si="110"/>
        <v>1</v>
      </c>
      <c r="I341">
        <f t="shared" si="111"/>
        <v>0.60048422194958628</v>
      </c>
      <c r="J341">
        <f t="shared" si="112"/>
        <v>3</v>
      </c>
    </row>
    <row r="342" spans="1:14" x14ac:dyDescent="0.2">
      <c r="A342" t="s">
        <v>64</v>
      </c>
      <c r="B342">
        <f>Processing_index!$S$10</f>
        <v>0.35071163000096101</v>
      </c>
      <c r="C342">
        <f>Processing_index!$T$10</f>
        <v>0.23499113477492253</v>
      </c>
      <c r="D342">
        <f>Processing_index!$U$10</f>
        <v>0.60004571329783574</v>
      </c>
      <c r="E342">
        <f>Processing_index!$V$10</f>
        <v>0.55285895708554278</v>
      </c>
      <c r="F342">
        <f t="shared" si="108"/>
        <v>0.43465185878981549</v>
      </c>
      <c r="G342">
        <f t="shared" si="109"/>
        <v>0.23499113477492253</v>
      </c>
      <c r="H342">
        <f t="shared" si="110"/>
        <v>0.943996453909969</v>
      </c>
      <c r="I342">
        <f t="shared" si="111"/>
        <v>0.41030981338296241</v>
      </c>
      <c r="J342">
        <f t="shared" si="112"/>
        <v>7</v>
      </c>
    </row>
    <row r="343" spans="1:14" x14ac:dyDescent="0.2">
      <c r="A343" t="s">
        <v>54</v>
      </c>
      <c r="B343">
        <f>Processing_index!$S$11</f>
        <v>0.69463420725364811</v>
      </c>
      <c r="C343">
        <f>Processing_index!$T$11</f>
        <v>0.39037289108176643</v>
      </c>
      <c r="D343">
        <f>Processing_index!$U$11</f>
        <v>0.75697314098589785</v>
      </c>
      <c r="E343">
        <f>Processing_index!$V$11</f>
        <v>0.8994049098912259</v>
      </c>
      <c r="F343">
        <f t="shared" si="108"/>
        <v>0.68534628730313463</v>
      </c>
      <c r="G343">
        <f t="shared" si="109"/>
        <v>0.39037289108176643</v>
      </c>
      <c r="H343">
        <f t="shared" si="110"/>
        <v>1</v>
      </c>
      <c r="I343">
        <f t="shared" si="111"/>
        <v>0.68534628730313463</v>
      </c>
      <c r="J343">
        <f t="shared" si="112"/>
        <v>1</v>
      </c>
    </row>
    <row r="344" spans="1:14" x14ac:dyDescent="0.2">
      <c r="A344" t="s">
        <v>56</v>
      </c>
      <c r="B344">
        <f>Processing_index!$S$12</f>
        <v>0.71082122228055045</v>
      </c>
      <c r="C344">
        <f>Processing_index!$T$12</f>
        <v>0.26817044733481826</v>
      </c>
      <c r="D344">
        <f>Processing_index!$U$12</f>
        <v>0.5611371100196817</v>
      </c>
      <c r="E344">
        <f>Processing_index!$V$12</f>
        <v>0.70371201818939955</v>
      </c>
      <c r="F344">
        <f t="shared" si="108"/>
        <v>0.56096019945611253</v>
      </c>
      <c r="G344">
        <f t="shared" si="109"/>
        <v>0.26817044733481826</v>
      </c>
      <c r="H344">
        <f t="shared" si="110"/>
        <v>0.95726817893392735</v>
      </c>
      <c r="I344">
        <f t="shared" si="111"/>
        <v>0.53698934858776548</v>
      </c>
      <c r="J344">
        <f t="shared" si="112"/>
        <v>5</v>
      </c>
    </row>
    <row r="345" spans="1:14" x14ac:dyDescent="0.2">
      <c r="A345" t="s">
        <v>45</v>
      </c>
      <c r="B345">
        <f>Processing_index!$S$13</f>
        <v>0.57839515879101233</v>
      </c>
      <c r="C345">
        <f>Processing_index!$T$13</f>
        <v>0.37003901547693341</v>
      </c>
      <c r="D345">
        <f>Processing_index!$U$13</f>
        <v>0.62584075418150009</v>
      </c>
      <c r="E345">
        <f>Processing_index!$V$13</f>
        <v>0.90826853207809577</v>
      </c>
      <c r="F345">
        <f t="shared" si="108"/>
        <v>0.6206358651318854</v>
      </c>
      <c r="G345">
        <f t="shared" si="109"/>
        <v>0.37003901547693341</v>
      </c>
      <c r="H345">
        <f t="shared" si="110"/>
        <v>0.99801560619077334</v>
      </c>
      <c r="I345">
        <f t="shared" si="111"/>
        <v>0.61940427916333363</v>
      </c>
      <c r="J345">
        <f t="shared" si="112"/>
        <v>2</v>
      </c>
    </row>
    <row r="346" spans="1:14" x14ac:dyDescent="0.2">
      <c r="A346" t="s">
        <v>40</v>
      </c>
      <c r="B346">
        <f>Processing_index!$S$14</f>
        <v>0.21832676937677528</v>
      </c>
      <c r="C346">
        <f>Processing_index!$T$14</f>
        <v>0.10718623435529315</v>
      </c>
      <c r="D346">
        <f>Processing_index!$U$14</f>
        <v>0.28034164118021382</v>
      </c>
      <c r="E346">
        <f>Processing_index!$V$14</f>
        <v>0.45739639864411208</v>
      </c>
      <c r="F346">
        <f t="shared" si="108"/>
        <v>0.26581276088909855</v>
      </c>
      <c r="G346">
        <f t="shared" si="109"/>
        <v>0.10718623435529315</v>
      </c>
      <c r="H346">
        <f t="shared" si="110"/>
        <v>0.89287449374211725</v>
      </c>
      <c r="I346">
        <f t="shared" si="111"/>
        <v>0.23733743430904833</v>
      </c>
      <c r="J346">
        <f t="shared" si="112"/>
        <v>10</v>
      </c>
    </row>
    <row r="347" spans="1:14" x14ac:dyDescent="0.2">
      <c r="A347" t="s">
        <v>130</v>
      </c>
      <c r="B347">
        <f>Processing_index!$S$15</f>
        <v>0.17392266674442028</v>
      </c>
      <c r="C347">
        <f>Processing_index!$T$15</f>
        <v>0.23417283141449302</v>
      </c>
      <c r="D347">
        <f>Processing_index!$U$15</f>
        <v>0.36886287936698087</v>
      </c>
      <c r="E347">
        <f>Processing_index!$V$15</f>
        <v>0.35816637363864023</v>
      </c>
      <c r="F347">
        <f t="shared" si="108"/>
        <v>0.28378118779113359</v>
      </c>
      <c r="G347">
        <f t="shared" si="109"/>
        <v>0.17392266674442028</v>
      </c>
      <c r="H347">
        <f t="shared" si="110"/>
        <v>0.91956906669776806</v>
      </c>
      <c r="I347">
        <f t="shared" si="111"/>
        <v>0.26095640200347675</v>
      </c>
      <c r="J347">
        <f t="shared" si="112"/>
        <v>9</v>
      </c>
    </row>
    <row r="348" spans="1:14" x14ac:dyDescent="0.2">
      <c r="A348" s="3" t="s">
        <v>242</v>
      </c>
      <c r="B348">
        <f>1-6*SUMPRODUCT((Processing_index!$AF$6:$AF$15-$J$338:$J$347)^2)/(10*(10^2-1))</f>
        <v>0.96363636363636362</v>
      </c>
    </row>
    <row r="349" spans="1:14" x14ac:dyDescent="0.2">
      <c r="A349" s="3" t="s">
        <v>243</v>
      </c>
      <c r="B349">
        <f>SUMPRODUCT(--(Processing_index!$AF$6:$AF$15&lt;&gt;$J$338:$J$347))</f>
        <v>6</v>
      </c>
    </row>
    <row r="351" spans="1:14" x14ac:dyDescent="0.2">
      <c r="A351" s="3" t="s">
        <v>273</v>
      </c>
    </row>
    <row r="352" spans="1:14" x14ac:dyDescent="0.2">
      <c r="A352" s="3" t="s">
        <v>274</v>
      </c>
      <c r="B352" s="3" t="s">
        <v>141</v>
      </c>
      <c r="C352" s="3" t="s">
        <v>147</v>
      </c>
      <c r="D352" s="3" t="s">
        <v>151</v>
      </c>
      <c r="E352" s="3" t="s">
        <v>155</v>
      </c>
      <c r="F352" s="3" t="s">
        <v>160</v>
      </c>
      <c r="G352" s="3" t="s">
        <v>162</v>
      </c>
      <c r="H352" s="3" t="s">
        <v>167</v>
      </c>
      <c r="I352" s="3" t="s">
        <v>171</v>
      </c>
      <c r="J352" s="3" t="s">
        <v>173</v>
      </c>
      <c r="K352" s="3" t="s">
        <v>178</v>
      </c>
      <c r="L352" s="3" t="s">
        <v>182</v>
      </c>
      <c r="M352" s="3" t="s">
        <v>187</v>
      </c>
      <c r="N352" s="3" t="s">
        <v>191</v>
      </c>
    </row>
    <row r="353" spans="1:24" x14ac:dyDescent="0.2">
      <c r="A353" s="3" t="s">
        <v>275</v>
      </c>
      <c r="B353">
        <f>ABS(Processing_data!$E$4-Processing_data!$F$4)</f>
        <v>0</v>
      </c>
      <c r="C353">
        <f>ABS(Processing_data!$E$5-Processing_data!$F$5)</f>
        <v>1</v>
      </c>
      <c r="D353">
        <f>ABS(Processing_data!$E$6-Processing_data!$F$6)</f>
        <v>1</v>
      </c>
      <c r="E353">
        <f>ABS(Processing_data!$E$7-Processing_data!$F$7)</f>
        <v>1</v>
      </c>
      <c r="F353">
        <f>ABS(Processing_data!$E$8-Processing_data!$F$8)</f>
        <v>1</v>
      </c>
      <c r="G353">
        <f>ABS(Processing_data!$E$9-Processing_data!$F$9)</f>
        <v>2</v>
      </c>
      <c r="H353">
        <f>ABS(Processing_data!$E$10-Processing_data!$F$10)</f>
        <v>0</v>
      </c>
      <c r="I353">
        <f>ABS(Processing_data!$E$11-Processing_data!$F$11)</f>
        <v>1</v>
      </c>
      <c r="J353">
        <f>ABS(Processing_data!$E$12-Processing_data!$F$12)</f>
        <v>1</v>
      </c>
      <c r="K353">
        <f>ABS(Processing_data!$E$13-Processing_data!$F$13)</f>
        <v>0</v>
      </c>
      <c r="L353">
        <f>ABS(Processing_data!$E$14-Processing_data!$F$14)</f>
        <v>0</v>
      </c>
      <c r="M353">
        <f>ABS(Processing_data!$E$15-Processing_data!$F$15)</f>
        <v>0</v>
      </c>
      <c r="N353">
        <f>ABS(Processing_data!$E$16-Processing_data!$F$16)</f>
        <v>0</v>
      </c>
    </row>
    <row r="354" spans="1:24" x14ac:dyDescent="0.2">
      <c r="A354" s="3" t="s">
        <v>276</v>
      </c>
      <c r="B354">
        <f t="shared" ref="B354:N354" si="113">IF(B353&lt;=max_year_gap,1,0)</f>
        <v>1</v>
      </c>
      <c r="C354">
        <f t="shared" si="113"/>
        <v>1</v>
      </c>
      <c r="D354">
        <f t="shared" si="113"/>
        <v>1</v>
      </c>
      <c r="E354">
        <f t="shared" si="113"/>
        <v>1</v>
      </c>
      <c r="F354">
        <f t="shared" si="113"/>
        <v>1</v>
      </c>
      <c r="G354">
        <f t="shared" si="113"/>
        <v>0</v>
      </c>
      <c r="H354">
        <f t="shared" si="113"/>
        <v>1</v>
      </c>
      <c r="I354">
        <f t="shared" si="113"/>
        <v>1</v>
      </c>
      <c r="J354">
        <f t="shared" si="113"/>
        <v>1</v>
      </c>
      <c r="K354">
        <f t="shared" si="113"/>
        <v>1</v>
      </c>
      <c r="L354">
        <f t="shared" si="113"/>
        <v>1</v>
      </c>
      <c r="M354">
        <f t="shared" si="113"/>
        <v>1</v>
      </c>
      <c r="N354">
        <f t="shared" si="113"/>
        <v>1</v>
      </c>
    </row>
    <row r="356" spans="1:24" x14ac:dyDescent="0.2">
      <c r="A356" s="3" t="s">
        <v>125</v>
      </c>
      <c r="B356" s="3" t="s">
        <v>141</v>
      </c>
      <c r="C356" s="3" t="s">
        <v>147</v>
      </c>
      <c r="D356" s="3" t="s">
        <v>151</v>
      </c>
      <c r="E356" s="3" t="s">
        <v>155</v>
      </c>
      <c r="F356" s="3" t="s">
        <v>160</v>
      </c>
      <c r="G356" s="3" t="s">
        <v>162</v>
      </c>
      <c r="H356" s="3" t="s">
        <v>167</v>
      </c>
      <c r="I356" s="3" t="s">
        <v>171</v>
      </c>
      <c r="J356" s="3" t="s">
        <v>173</v>
      </c>
      <c r="K356" s="3" t="s">
        <v>178</v>
      </c>
      <c r="L356" s="3" t="s">
        <v>182</v>
      </c>
      <c r="M356" s="3" t="s">
        <v>187</v>
      </c>
      <c r="N356" s="3" t="s">
        <v>191</v>
      </c>
      <c r="O356" s="3" t="s">
        <v>142</v>
      </c>
      <c r="P356" s="3" t="s">
        <v>156</v>
      </c>
      <c r="Q356" s="3" t="s">
        <v>163</v>
      </c>
      <c r="R356" s="3" t="s">
        <v>174</v>
      </c>
      <c r="S356" s="3" t="s">
        <v>183</v>
      </c>
      <c r="T356" s="3" t="s">
        <v>208</v>
      </c>
      <c r="U356" s="3" t="s">
        <v>209</v>
      </c>
      <c r="V356" s="3" t="s">
        <v>211</v>
      </c>
      <c r="W356" s="3" t="s">
        <v>212</v>
      </c>
      <c r="X356" s="3" t="s">
        <v>225</v>
      </c>
    </row>
    <row r="357" spans="1:24" x14ac:dyDescent="0.2">
      <c r="A357" t="s">
        <v>59</v>
      </c>
      <c r="B357">
        <f>IF(B$354=1,Processing_index!$B$6,"")</f>
        <v>0.55977115326708826</v>
      </c>
      <c r="C357">
        <f>IF(C$354=1,Processing_index!$C$6,"")</f>
        <v>0.30188679245283023</v>
      </c>
      <c r="D357">
        <f>IF(D$354=1,Processing_index!$D$6,"")</f>
        <v>0.46742596810933945</v>
      </c>
      <c r="E357">
        <f>IF(E$354=1,Processing_index!$E$6,"")</f>
        <v>0.74557522123893816</v>
      </c>
      <c r="F357">
        <f>IF(F$354=1,Processing_index!$F$6,"")</f>
        <v>0.51136028326940097</v>
      </c>
      <c r="G357" t="str">
        <f>IF(G$354=1,Processing_index!$G$6,"")</f>
        <v/>
      </c>
      <c r="H357">
        <f>IF(H$354=1,Processing_index!$H$6,"")</f>
        <v>0.2811655151697206</v>
      </c>
      <c r="I357">
        <f>IF(I$354=1,Processing_index!$I$6,"")</f>
        <v>0.31749849669272401</v>
      </c>
      <c r="J357">
        <f>IF(J$354=1,Processing_index!$J$6,"")</f>
        <v>0.91389207807118256</v>
      </c>
      <c r="K357">
        <f>IF(K$354=1,Processing_index!$K$6,"")</f>
        <v>0.63287940474519155</v>
      </c>
      <c r="L357">
        <f>IF(L$354=1,Processing_index!$L$6,"")</f>
        <v>0.30852090032154339</v>
      </c>
      <c r="M357">
        <f>IF(M$354=1,Processing_index!$M$6,"")</f>
        <v>0.58633425669436745</v>
      </c>
      <c r="N357">
        <f>IF(N$354=1,Processing_index!$N$6,"")</f>
        <v>0.67647999999999997</v>
      </c>
      <c r="O357">
        <f t="shared" ref="O357:O366" si="114">AVERAGE(B357:D357)</f>
        <v>0.4430279712764193</v>
      </c>
      <c r="P357">
        <f t="shared" ref="P357:P366" si="115">AVERAGE(E357:F357)</f>
        <v>0.62846775225416951</v>
      </c>
      <c r="Q357">
        <f t="shared" ref="Q357:Q366" si="116">AVERAGE(G357:I357)</f>
        <v>0.29933200593122233</v>
      </c>
      <c r="R357">
        <f t="shared" ref="R357:R366" si="117">AVERAGE(J357:K357)</f>
        <v>0.77338574140818706</v>
      </c>
      <c r="S357">
        <f t="shared" ref="S357:S366" si="118">AVERAGE(L357:N357)</f>
        <v>0.52377838567197033</v>
      </c>
      <c r="T357">
        <f t="shared" ref="T357:T366" si="119">AVERAGE(O357:S357)</f>
        <v>0.53359837130839372</v>
      </c>
      <c r="U357">
        <f t="shared" ref="U357:U366" si="120">MIN(O357:S357)</f>
        <v>0.29933200593122233</v>
      </c>
      <c r="V357">
        <f t="shared" ref="V357:V366" si="121">1-alpha*MAX(0,delta-U357)</f>
        <v>0.96973280237248893</v>
      </c>
      <c r="W357">
        <f t="shared" ref="W357:W366" si="122">T357*V357</f>
        <v>0.51744784395028454</v>
      </c>
      <c r="X357">
        <f t="shared" ref="X357:X366" si="123">1+COUNTIF($W$357:$W$366,"&gt;"&amp;W357)</f>
        <v>5</v>
      </c>
    </row>
    <row r="358" spans="1:24" x14ac:dyDescent="0.2">
      <c r="A358" t="s">
        <v>51</v>
      </c>
      <c r="B358">
        <f>IF(B$354=1,Processing_index!$B$7,"")</f>
        <v>0.42261367058115024</v>
      </c>
      <c r="C358">
        <f>IF(C$354=1,Processing_index!$C$7,"")</f>
        <v>0.31933962264150945</v>
      </c>
      <c r="D358">
        <f>IF(D$354=1,Processing_index!$D$7,"")</f>
        <v>0.13591495823842065</v>
      </c>
      <c r="E358">
        <f>IF(E$354=1,Processing_index!$E$7,"")</f>
        <v>0.31969026548672569</v>
      </c>
      <c r="F358">
        <f>IF(F$354=1,Processing_index!$F$7,"")</f>
        <v>0.27205665388020067</v>
      </c>
      <c r="G358" t="str">
        <f>IF(G$354=1,Processing_index!$G$7,"")</f>
        <v/>
      </c>
      <c r="H358">
        <f>IF(H$354=1,Processing_index!$H$7,"")</f>
        <v>0.64328627215379997</v>
      </c>
      <c r="I358">
        <f>IF(I$354=1,Processing_index!$I$7,"")</f>
        <v>0.42313088795349768</v>
      </c>
      <c r="J358">
        <f>IF(J$354=1,Processing_index!$J$7,"")</f>
        <v>0.73562258636885502</v>
      </c>
      <c r="K358">
        <f>IF(K$354=1,Processing_index!$K$7,"")</f>
        <v>0.47634423697880102</v>
      </c>
      <c r="L358">
        <f>IF(L$354=1,Processing_index!$L$7,"")</f>
        <v>0.4299035369774919</v>
      </c>
      <c r="M358">
        <f>IF(M$354=1,Processing_index!$M$7,"")</f>
        <v>0.60408330768441576</v>
      </c>
      <c r="N358">
        <f>IF(N$354=1,Processing_index!$N$7,"")</f>
        <v>0.40256000000000003</v>
      </c>
      <c r="O358">
        <f t="shared" si="114"/>
        <v>0.29262275048702674</v>
      </c>
      <c r="P358">
        <f t="shared" si="115"/>
        <v>0.29587345968346318</v>
      </c>
      <c r="Q358">
        <f t="shared" si="116"/>
        <v>0.5332085800536488</v>
      </c>
      <c r="R358">
        <f t="shared" si="117"/>
        <v>0.60598341167382808</v>
      </c>
      <c r="S358">
        <f t="shared" si="118"/>
        <v>0.47884894822063589</v>
      </c>
      <c r="T358">
        <f t="shared" si="119"/>
        <v>0.44130743002372058</v>
      </c>
      <c r="U358">
        <f t="shared" si="120"/>
        <v>0.29262275048702674</v>
      </c>
      <c r="V358">
        <f t="shared" si="121"/>
        <v>0.96704910019481072</v>
      </c>
      <c r="W358">
        <f t="shared" si="122"/>
        <v>0.4267659531137234</v>
      </c>
      <c r="X358">
        <f t="shared" si="123"/>
        <v>7</v>
      </c>
    </row>
    <row r="359" spans="1:24" x14ac:dyDescent="0.2">
      <c r="A359" t="s">
        <v>61</v>
      </c>
      <c r="B359">
        <f>IF(B$354=1,Processing_index!$B$8,"")</f>
        <v>0.31647094248720264</v>
      </c>
      <c r="C359">
        <f>IF(C$354=1,Processing_index!$C$8,"")</f>
        <v>0.14339622641509434</v>
      </c>
      <c r="D359">
        <f>IF(D$354=1,Processing_index!$D$8,"")</f>
        <v>0.86165527714502665</v>
      </c>
      <c r="E359">
        <f>IF(E$354=1,Processing_index!$E$8,"")</f>
        <v>0.31803097345132747</v>
      </c>
      <c r="F359">
        <f>IF(F$354=1,Processing_index!$F$8,"")</f>
        <v>0.16494541162584833</v>
      </c>
      <c r="G359" t="str">
        <f>IF(G$354=1,Processing_index!$G$8,"")</f>
        <v/>
      </c>
      <c r="H359">
        <f>IF(H$354=1,Processing_index!$H$8,"")</f>
        <v>0.47506758786422348</v>
      </c>
      <c r="I359">
        <f>IF(I$354=1,Processing_index!$I$8,"")</f>
        <v>0.20264582080577268</v>
      </c>
      <c r="J359">
        <f>IF(J$354=1,Processing_index!$J$8,"")</f>
        <v>0.85179000104373237</v>
      </c>
      <c r="K359">
        <f>IF(K$354=1,Processing_index!$K$8,"")</f>
        <v>0.26295100379053771</v>
      </c>
      <c r="L359">
        <f>IF(L$354=1,Processing_index!$L$8,"")</f>
        <v>0.33842443729903537</v>
      </c>
      <c r="M359">
        <f>IF(M$354=1,Processing_index!$M$8,"")</f>
        <v>0.51492767005232376</v>
      </c>
      <c r="N359">
        <f>IF(N$354=1,Processing_index!$N$8,"")</f>
        <v>0.28095999999999999</v>
      </c>
      <c r="O359">
        <f t="shared" si="114"/>
        <v>0.44050748201577455</v>
      </c>
      <c r="P359">
        <f t="shared" si="115"/>
        <v>0.24148819253858789</v>
      </c>
      <c r="Q359">
        <f t="shared" si="116"/>
        <v>0.33885670433499809</v>
      </c>
      <c r="R359">
        <f t="shared" si="117"/>
        <v>0.55737050241713504</v>
      </c>
      <c r="S359">
        <f t="shared" si="118"/>
        <v>0.37810403578378637</v>
      </c>
      <c r="T359">
        <f t="shared" si="119"/>
        <v>0.39126538341805639</v>
      </c>
      <c r="U359">
        <f t="shared" si="120"/>
        <v>0.24148819253858789</v>
      </c>
      <c r="V359">
        <f t="shared" si="121"/>
        <v>0.94659527701543511</v>
      </c>
      <c r="W359">
        <f t="shared" si="122"/>
        <v>0.37036996400316552</v>
      </c>
      <c r="X359">
        <f t="shared" si="123"/>
        <v>8</v>
      </c>
    </row>
    <row r="360" spans="1:24" x14ac:dyDescent="0.2">
      <c r="A360" t="s">
        <v>42</v>
      </c>
      <c r="B360">
        <f>IF(B$354=1,Processing_index!$B$9,"")</f>
        <v>0.72508280638361933</v>
      </c>
      <c r="C360">
        <f>IF(C$354=1,Processing_index!$C$9,"")</f>
        <v>0.70896226415094343</v>
      </c>
      <c r="D360">
        <f>IF(D$354=1,Processing_index!$D$9,"")</f>
        <v>0.25512528473804102</v>
      </c>
      <c r="E360">
        <f>IF(E$354=1,Processing_index!$E$9,"")</f>
        <v>0.41482300884955758</v>
      </c>
      <c r="F360">
        <f>IF(F$354=1,Processing_index!$F$9,"")</f>
        <v>0.46975508999704929</v>
      </c>
      <c r="G360" t="str">
        <f>IF(G$354=1,Processing_index!$G$9,"")</f>
        <v/>
      </c>
      <c r="H360">
        <f>IF(H$354=1,Processing_index!$H$9,"")</f>
        <v>0.62346049864824271</v>
      </c>
      <c r="I360">
        <f>IF(I$354=1,Processing_index!$I$9,"")</f>
        <v>0.68731208659049903</v>
      </c>
      <c r="J360">
        <f>IF(J$354=1,Processing_index!$J$9,"")</f>
        <v>0.85304247990815152</v>
      </c>
      <c r="K360">
        <f>IF(K$354=1,Processing_index!$K$9,"")</f>
        <v>0.59778183349712199</v>
      </c>
      <c r="L360">
        <f>IF(L$354=1,Processing_index!$L$9,"")</f>
        <v>0.65884244372990342</v>
      </c>
      <c r="M360">
        <f>IF(M$354=1,Processing_index!$M$9,"")</f>
        <v>0.81163434903047094</v>
      </c>
      <c r="N360">
        <f>IF(N$354=1,Processing_index!$N$9,"")</f>
        <v>0.96575999999999995</v>
      </c>
      <c r="O360">
        <f t="shared" si="114"/>
        <v>0.56305678509086798</v>
      </c>
      <c r="P360">
        <f t="shared" si="115"/>
        <v>0.44228904942330344</v>
      </c>
      <c r="Q360">
        <f t="shared" si="116"/>
        <v>0.65538629261937087</v>
      </c>
      <c r="R360">
        <f t="shared" si="117"/>
        <v>0.72541215670263681</v>
      </c>
      <c r="S360">
        <f t="shared" si="118"/>
        <v>0.81207893092012473</v>
      </c>
      <c r="T360">
        <f t="shared" si="119"/>
        <v>0.63964464295126078</v>
      </c>
      <c r="U360">
        <f t="shared" si="120"/>
        <v>0.44228904942330344</v>
      </c>
      <c r="V360">
        <f t="shared" si="121"/>
        <v>1</v>
      </c>
      <c r="W360">
        <f t="shared" si="122"/>
        <v>0.63964464295126078</v>
      </c>
      <c r="X360">
        <f t="shared" si="123"/>
        <v>2</v>
      </c>
    </row>
    <row r="361" spans="1:24" x14ac:dyDescent="0.2">
      <c r="A361" t="s">
        <v>64</v>
      </c>
      <c r="B361">
        <f>IF(B$354=1,Processing_index!$B$10,"")</f>
        <v>0.31737428485395963</v>
      </c>
      <c r="C361">
        <f>IF(C$354=1,Processing_index!$C$10,"")</f>
        <v>0.53066037735849059</v>
      </c>
      <c r="D361">
        <f>IF(D$354=1,Processing_index!$D$10,"")</f>
        <v>0.20410022779043283</v>
      </c>
      <c r="E361">
        <f>IF(E$354=1,Processing_index!$E$10,"")</f>
        <v>0.23008849557522126</v>
      </c>
      <c r="F361">
        <f>IF(F$354=1,Processing_index!$F$10,"")</f>
        <v>0.2398937739746238</v>
      </c>
      <c r="G361" t="str">
        <f>IF(G$354=1,Processing_index!$G$10,"")</f>
        <v/>
      </c>
      <c r="H361">
        <f>IF(H$354=1,Processing_index!$H$10,"")</f>
        <v>0.44142385100630821</v>
      </c>
      <c r="I361">
        <f>IF(I$354=1,Processing_index!$I$10,"")</f>
        <v>0.71236720785728602</v>
      </c>
      <c r="J361">
        <f>IF(J$354=1,Processing_index!$J$10,"")</f>
        <v>0.61308840413318022</v>
      </c>
      <c r="K361">
        <f>IF(K$354=1,Processing_index!$K$10,"")</f>
        <v>0.49262951003790539</v>
      </c>
      <c r="L361">
        <f>IF(L$354=1,Processing_index!$L$10,"")</f>
        <v>0.68681672025723473</v>
      </c>
      <c r="M361">
        <f>IF(M$354=1,Processing_index!$M$10,"")</f>
        <v>0.74299784549092029</v>
      </c>
      <c r="N361">
        <f>IF(N$354=1,Processing_index!$N$10,"")</f>
        <v>0.43872000000000005</v>
      </c>
      <c r="O361">
        <f t="shared" si="114"/>
        <v>0.35071163000096101</v>
      </c>
      <c r="P361">
        <f t="shared" si="115"/>
        <v>0.23499113477492253</v>
      </c>
      <c r="Q361">
        <f t="shared" si="116"/>
        <v>0.57689552943179712</v>
      </c>
      <c r="R361">
        <f t="shared" si="117"/>
        <v>0.55285895708554278</v>
      </c>
      <c r="S361">
        <f t="shared" si="118"/>
        <v>0.62284485524938493</v>
      </c>
      <c r="T361">
        <f t="shared" si="119"/>
        <v>0.46766042130852165</v>
      </c>
      <c r="U361">
        <f t="shared" si="120"/>
        <v>0.23499113477492253</v>
      </c>
      <c r="V361">
        <f t="shared" si="121"/>
        <v>0.943996453909969</v>
      </c>
      <c r="W361">
        <f t="shared" si="122"/>
        <v>0.44146977934928655</v>
      </c>
      <c r="X361">
        <f t="shared" si="123"/>
        <v>6</v>
      </c>
    </row>
    <row r="362" spans="1:24" x14ac:dyDescent="0.2">
      <c r="A362" t="s">
        <v>54</v>
      </c>
      <c r="B362">
        <f>IF(B$354=1,Processing_index!$B$11,"")</f>
        <v>0.89144835892803376</v>
      </c>
      <c r="C362">
        <f>IF(C$354=1,Processing_index!$C$11,"")</f>
        <v>0.65471698113207555</v>
      </c>
      <c r="D362">
        <f>IF(D$354=1,Processing_index!$D$11,"")</f>
        <v>0.53773728170083523</v>
      </c>
      <c r="E362">
        <f>IF(E$354=1,Processing_index!$E$11,"")</f>
        <v>0.42754424778761069</v>
      </c>
      <c r="F362">
        <f>IF(F$354=1,Processing_index!$F$11,"")</f>
        <v>0.35320153437592211</v>
      </c>
      <c r="G362" t="str">
        <f>IF(G$354=1,Processing_index!$G$11,"")</f>
        <v/>
      </c>
      <c r="H362">
        <f>IF(H$354=1,Processing_index!$H$11,"")</f>
        <v>1</v>
      </c>
      <c r="I362">
        <f>IF(I$354=1,Processing_index!$I$11,"")</f>
        <v>0.75766686710763675</v>
      </c>
      <c r="J362">
        <f>IF(J$354=1,Processing_index!$J$11,"")</f>
        <v>0.98131719027241404</v>
      </c>
      <c r="K362">
        <f>IF(K$354=1,Processing_index!$K$11,"")</f>
        <v>0.81749262951003776</v>
      </c>
      <c r="L362">
        <f>IF(L$354=1,Processing_index!$L$11,"")</f>
        <v>0.97170418006430859</v>
      </c>
      <c r="M362">
        <f>IF(M$354=1,Processing_index!$M$11,"")</f>
        <v>0.8368728839642966</v>
      </c>
      <c r="N362">
        <f>IF(N$354=1,Processing_index!$N$11,"")</f>
        <v>0.83328000000000002</v>
      </c>
      <c r="O362">
        <f t="shared" si="114"/>
        <v>0.69463420725364811</v>
      </c>
      <c r="P362">
        <f t="shared" si="115"/>
        <v>0.39037289108176643</v>
      </c>
      <c r="Q362">
        <f t="shared" si="116"/>
        <v>0.87883343355381838</v>
      </c>
      <c r="R362">
        <f t="shared" si="117"/>
        <v>0.8994049098912259</v>
      </c>
      <c r="S362">
        <f t="shared" si="118"/>
        <v>0.88061902134286851</v>
      </c>
      <c r="T362">
        <f t="shared" si="119"/>
        <v>0.74877289262466551</v>
      </c>
      <c r="U362">
        <f t="shared" si="120"/>
        <v>0.39037289108176643</v>
      </c>
      <c r="V362">
        <f t="shared" si="121"/>
        <v>1</v>
      </c>
      <c r="W362">
        <f t="shared" si="122"/>
        <v>0.74877289262466551</v>
      </c>
      <c r="X362">
        <f t="shared" si="123"/>
        <v>1</v>
      </c>
    </row>
    <row r="363" spans="1:24" x14ac:dyDescent="0.2">
      <c r="A363" t="s">
        <v>56</v>
      </c>
      <c r="B363">
        <f>IF(B$354=1,Processing_index!$B$12,"")</f>
        <v>0.68202348690153558</v>
      </c>
      <c r="C363">
        <f>IF(C$354=1,Processing_index!$C$12,"")</f>
        <v>0.68066037735849061</v>
      </c>
      <c r="D363">
        <f>IF(D$354=1,Processing_index!$D$12,"")</f>
        <v>0.76977980258162493</v>
      </c>
      <c r="E363">
        <f>IF(E$354=1,Processing_index!$E$12,"")</f>
        <v>0.34070796460176994</v>
      </c>
      <c r="F363">
        <f>IF(F$354=1,Processing_index!$F$12,"")</f>
        <v>0.19563293006786661</v>
      </c>
      <c r="G363" t="str">
        <f>IF(G$354=1,Processing_index!$G$12,"")</f>
        <v/>
      </c>
      <c r="H363">
        <f>IF(H$354=1,Processing_index!$H$12,"")</f>
        <v>0.69600480624812266</v>
      </c>
      <c r="I363">
        <f>IF(I$354=1,Processing_index!$I$12,"")</f>
        <v>0.60232511525355781</v>
      </c>
      <c r="J363">
        <f>IF(J$354=1,Processing_index!$J$12,"")</f>
        <v>0.93894165535956575</v>
      </c>
      <c r="K363">
        <f>IF(K$354=1,Processing_index!$K$12,"")</f>
        <v>0.4684823810192334</v>
      </c>
      <c r="L363">
        <f>IF(L$354=1,Processing_index!$L$12,"")</f>
        <v>0.67315112540192923</v>
      </c>
      <c r="M363">
        <f>IF(M$354=1,Processing_index!$M$12,"")</f>
        <v>0.69549605006668724</v>
      </c>
      <c r="N363">
        <f>IF(N$354=1,Processing_index!$N$12,"")</f>
        <v>0.42048000000000002</v>
      </c>
      <c r="O363">
        <f t="shared" si="114"/>
        <v>0.71082122228055045</v>
      </c>
      <c r="P363">
        <f t="shared" si="115"/>
        <v>0.26817044733481826</v>
      </c>
      <c r="Q363">
        <f t="shared" si="116"/>
        <v>0.64916496075084029</v>
      </c>
      <c r="R363">
        <f t="shared" si="117"/>
        <v>0.70371201818939955</v>
      </c>
      <c r="S363">
        <f t="shared" si="118"/>
        <v>0.59637572515620552</v>
      </c>
      <c r="T363">
        <f t="shared" si="119"/>
        <v>0.58564887474236271</v>
      </c>
      <c r="U363">
        <f t="shared" si="120"/>
        <v>0.26817044733481826</v>
      </c>
      <c r="V363">
        <f t="shared" si="121"/>
        <v>0.95726817893392735</v>
      </c>
      <c r="W363">
        <f t="shared" si="122"/>
        <v>0.56062303181932527</v>
      </c>
      <c r="X363">
        <f t="shared" si="123"/>
        <v>4</v>
      </c>
    </row>
    <row r="364" spans="1:24" x14ac:dyDescent="0.2">
      <c r="A364" t="s">
        <v>45</v>
      </c>
      <c r="B364">
        <f>IF(B$354=1,Processing_index!$B$13,"")</f>
        <v>0.56052393857271898</v>
      </c>
      <c r="C364">
        <f>IF(C$354=1,Processing_index!$C$13,"")</f>
        <v>0.56509433962264155</v>
      </c>
      <c r="D364">
        <f>IF(D$354=1,Processing_index!$D$13,"")</f>
        <v>0.60956719817767657</v>
      </c>
      <c r="E364">
        <f>IF(E$354=1,Processing_index!$E$13,"")</f>
        <v>0.25055309734513276</v>
      </c>
      <c r="F364">
        <f>IF(F$354=1,Processing_index!$F$13,"")</f>
        <v>0.48952493360873411</v>
      </c>
      <c r="G364" t="str">
        <f>IF(G$354=1,Processing_index!$G$13,"")</f>
        <v/>
      </c>
      <c r="H364">
        <f>IF(H$354=1,Processing_index!$H$13,"")</f>
        <v>0.75503154100330439</v>
      </c>
      <c r="I364">
        <f>IF(I$354=1,Processing_index!$I$13,"")</f>
        <v>0.50851874123070762</v>
      </c>
      <c r="J364">
        <f>IF(J$354=1,Processing_index!$J$13,"")</f>
        <v>0.89333055004696793</v>
      </c>
      <c r="K364">
        <f>IF(K$354=1,Processing_index!$K$13,"")</f>
        <v>0.92320651410922361</v>
      </c>
      <c r="L364">
        <f>IF(L$354=1,Processing_index!$L$13,"")</f>
        <v>0.75498392282958193</v>
      </c>
      <c r="M364">
        <f>IF(M$354=1,Processing_index!$M$13,"")</f>
        <v>0.71273212270442188</v>
      </c>
      <c r="N364">
        <f>IF(N$354=1,Processing_index!$N$13,"")</f>
        <v>0.36512</v>
      </c>
      <c r="O364">
        <f t="shared" si="114"/>
        <v>0.57839515879101233</v>
      </c>
      <c r="P364">
        <f t="shared" si="115"/>
        <v>0.37003901547693341</v>
      </c>
      <c r="Q364">
        <f t="shared" si="116"/>
        <v>0.63177514111700606</v>
      </c>
      <c r="R364">
        <f t="shared" si="117"/>
        <v>0.90826853207809577</v>
      </c>
      <c r="S364">
        <f t="shared" si="118"/>
        <v>0.61094534851133464</v>
      </c>
      <c r="T364">
        <f t="shared" si="119"/>
        <v>0.61988463919487646</v>
      </c>
      <c r="U364">
        <f t="shared" si="120"/>
        <v>0.37003901547693341</v>
      </c>
      <c r="V364">
        <f t="shared" si="121"/>
        <v>0.99801560619077334</v>
      </c>
      <c r="W364">
        <f t="shared" si="122"/>
        <v>0.61865454395442343</v>
      </c>
      <c r="X364">
        <f t="shared" si="123"/>
        <v>3</v>
      </c>
    </row>
    <row r="365" spans="1:24" x14ac:dyDescent="0.2">
      <c r="A365" t="s">
        <v>40</v>
      </c>
      <c r="B365">
        <f>IF(B$354=1,Processing_index!$B$14,"")</f>
        <v>0.31300813008130079</v>
      </c>
      <c r="C365">
        <f>IF(C$354=1,Processing_index!$C$14,"")</f>
        <v>0.25283018867924528</v>
      </c>
      <c r="D365">
        <f>IF(D$354=1,Processing_index!$D$14,"")</f>
        <v>8.9141989369779809E-2</v>
      </c>
      <c r="E365">
        <f>IF(E$354=1,Processing_index!$E$14,"")</f>
        <v>0.11670353982300885</v>
      </c>
      <c r="F365">
        <f>IF(F$354=1,Processing_index!$F$14,"")</f>
        <v>9.7668928887577458E-2</v>
      </c>
      <c r="G365" t="str">
        <f>IF(G$354=1,Processing_index!$G$14,"")</f>
        <v/>
      </c>
      <c r="H365">
        <f>IF(H$354=1,Processing_index!$H$14,"")</f>
        <v>0.34334635025533194</v>
      </c>
      <c r="I365">
        <f>IF(I$354=1,Processing_index!$I$14,"")</f>
        <v>0.30627380236520341</v>
      </c>
      <c r="J365">
        <f>IF(J$354=1,Processing_index!$J$14,"")</f>
        <v>0.75587099467696484</v>
      </c>
      <c r="K365">
        <f>IF(K$354=1,Processing_index!$K$14,"")</f>
        <v>0.15892180261125929</v>
      </c>
      <c r="L365">
        <f>IF(L$354=1,Processing_index!$L$14,"")</f>
        <v>0.2372990353697749</v>
      </c>
      <c r="M365">
        <f>IF(M$354=1,Processing_index!$M$14,"")</f>
        <v>0.46793885298040422</v>
      </c>
      <c r="N365">
        <f>IF(N$354=1,Processing_index!$N$14,"")</f>
        <v>0.21343999999999999</v>
      </c>
      <c r="O365">
        <f t="shared" si="114"/>
        <v>0.21832676937677528</v>
      </c>
      <c r="P365">
        <f t="shared" si="115"/>
        <v>0.10718623435529315</v>
      </c>
      <c r="Q365">
        <f t="shared" si="116"/>
        <v>0.3248100763102677</v>
      </c>
      <c r="R365">
        <f t="shared" si="117"/>
        <v>0.45739639864411208</v>
      </c>
      <c r="S365">
        <f t="shared" si="118"/>
        <v>0.30622596278339304</v>
      </c>
      <c r="T365">
        <f t="shared" si="119"/>
        <v>0.2827890882939682</v>
      </c>
      <c r="U365">
        <f t="shared" si="120"/>
        <v>0.10718623435529315</v>
      </c>
      <c r="V365">
        <f t="shared" si="121"/>
        <v>0.89287449374211725</v>
      </c>
      <c r="W365">
        <f t="shared" si="122"/>
        <v>0.25249516404627176</v>
      </c>
      <c r="X365">
        <f t="shared" si="123"/>
        <v>9</v>
      </c>
    </row>
    <row r="366" spans="1:24" x14ac:dyDescent="0.2">
      <c r="A366" t="s">
        <v>130</v>
      </c>
      <c r="B366">
        <f>IF(B$354=1,Processing_index!$B$15,"")</f>
        <v>0.30713640469738029</v>
      </c>
      <c r="C366">
        <f>IF(C$354=1,Processing_index!$C$15,"")</f>
        <v>0.1037735849056604</v>
      </c>
      <c r="D366">
        <f>IF(D$354=1,Processing_index!$D$15,"")</f>
        <v>0.1108580106302202</v>
      </c>
      <c r="E366">
        <f>IF(E$354=1,Processing_index!$E$15,"")</f>
        <v>0.27654867256637172</v>
      </c>
      <c r="F366">
        <f>IF(F$354=1,Processing_index!$F$15,"")</f>
        <v>0.19179699026261435</v>
      </c>
      <c r="G366" t="str">
        <f>IF(G$354=1,Processing_index!$G$15,"")</f>
        <v/>
      </c>
      <c r="H366">
        <f>IF(H$354=1,Processing_index!$H$15,"")</f>
        <v>0.31991589065785525</v>
      </c>
      <c r="I366">
        <f>IF(I$354=1,Processing_index!$I$15,"")</f>
        <v>0.18841451192623773</v>
      </c>
      <c r="J366">
        <f>IF(J$354=1,Processing_index!$J$15,"")</f>
        <v>0.47907316564032981</v>
      </c>
      <c r="K366">
        <f>IF(K$354=1,Processing_index!$K$15,"")</f>
        <v>0.23725958163695068</v>
      </c>
      <c r="L366">
        <f>IF(L$354=1,Processing_index!$L$15,"")</f>
        <v>0.27009646302250806</v>
      </c>
      <c r="M366">
        <f>IF(M$354=1,Processing_index!$M$15,"")</f>
        <v>0.44116138298963786</v>
      </c>
      <c r="N366">
        <f>IF(N$354=1,Processing_index!$N$15,"")</f>
        <v>0.22080000000000002</v>
      </c>
      <c r="O366">
        <f t="shared" si="114"/>
        <v>0.17392266674442028</v>
      </c>
      <c r="P366">
        <f t="shared" si="115"/>
        <v>0.23417283141449302</v>
      </c>
      <c r="Q366">
        <f t="shared" si="116"/>
        <v>0.25416520129204651</v>
      </c>
      <c r="R366">
        <f t="shared" si="117"/>
        <v>0.35816637363864023</v>
      </c>
      <c r="S366">
        <f t="shared" si="118"/>
        <v>0.31068594867071531</v>
      </c>
      <c r="T366">
        <f t="shared" si="119"/>
        <v>0.26622260435206313</v>
      </c>
      <c r="U366">
        <f t="shared" si="120"/>
        <v>0.17392266674442028</v>
      </c>
      <c r="V366">
        <f t="shared" si="121"/>
        <v>0.91956906669776806</v>
      </c>
      <c r="W366">
        <f t="shared" si="122"/>
        <v>0.24481007181787587</v>
      </c>
      <c r="X366">
        <f t="shared" si="123"/>
        <v>10</v>
      </c>
    </row>
    <row r="367" spans="1:24" x14ac:dyDescent="0.2">
      <c r="A367" s="3" t="s">
        <v>242</v>
      </c>
      <c r="B367">
        <f>1-6*SUMPRODUCT((Processing_index!$AF$6:$AF$15-$X$357:$X$366)^2)/(10*(10^2-1))</f>
        <v>0.98787878787878791</v>
      </c>
    </row>
    <row r="368" spans="1:24" x14ac:dyDescent="0.2">
      <c r="A368" s="3" t="s">
        <v>243</v>
      </c>
      <c r="B368">
        <f>SUMPRODUCT(--(Processing_index!$AF$6:$AF$15&lt;&gt;$X$357:$X$366))</f>
        <v>2</v>
      </c>
    </row>
    <row r="371" spans="1:15" x14ac:dyDescent="0.2">
      <c r="A371" s="3" t="s">
        <v>277</v>
      </c>
    </row>
    <row r="372" spans="1:15" x14ac:dyDescent="0.2">
      <c r="A372" s="3" t="s">
        <v>125</v>
      </c>
      <c r="B372" s="3" t="s">
        <v>142</v>
      </c>
      <c r="C372" s="3" t="s">
        <v>156</v>
      </c>
      <c r="D372" s="3" t="s">
        <v>163</v>
      </c>
      <c r="E372" s="3" t="s">
        <v>174</v>
      </c>
      <c r="F372" s="3" t="s">
        <v>183</v>
      </c>
      <c r="G372" s="3" t="s">
        <v>208</v>
      </c>
      <c r="H372" s="3" t="s">
        <v>209</v>
      </c>
      <c r="I372" s="3" t="s">
        <v>210</v>
      </c>
      <c r="J372" s="3" t="s">
        <v>211</v>
      </c>
      <c r="K372" s="3" t="s">
        <v>212</v>
      </c>
      <c r="L372" s="3" t="s">
        <v>213</v>
      </c>
      <c r="M372" s="3" t="s">
        <v>225</v>
      </c>
      <c r="N372" s="3" t="s">
        <v>278</v>
      </c>
      <c r="O372" s="3" t="s">
        <v>279</v>
      </c>
    </row>
    <row r="373" spans="1:15" x14ac:dyDescent="0.2">
      <c r="A373" t="s">
        <v>65</v>
      </c>
      <c r="B373">
        <f>AVERAGE(Processing_index!$B$4,Processing_index!$C$4,Processing_index!$D$4)</f>
        <v>0.51339238027652934</v>
      </c>
      <c r="C373">
        <f>AVERAGE(Processing_index!$E$4,Processing_index!$F$4,Processing_index!$J$4)</f>
        <v>0.55906300898344641</v>
      </c>
      <c r="D373">
        <f>AVERAGE(Processing_index!$G$4,Processing_index!$H$4,Processing_index!$I$4)</f>
        <v>0.53168491473873092</v>
      </c>
      <c r="E373">
        <f>AVERAGE(Processing_index!$K$4)</f>
        <v>0.5739154850484347</v>
      </c>
      <c r="F373">
        <f>AVERAGE(Processing_index!$L$4,Processing_index!$M$4,Processing_index!$N$4)</f>
        <v>0.62060694747090672</v>
      </c>
      <c r="G373">
        <f t="shared" ref="G373:G384" si="124">AVERAGE(B373:F373)</f>
        <v>0.55973254730360966</v>
      </c>
      <c r="H373">
        <f t="shared" ref="H373:H384" si="125">MIN(B373:F373)</f>
        <v>0.51339238027652934</v>
      </c>
      <c r="I373" t="str">
        <f t="shared" ref="I373:I384" si="126">INDEX($B$372:$F$372,MATCH(H373,B373:F373,0))</f>
        <v>C</v>
      </c>
      <c r="J373">
        <f t="shared" ref="J373:J384" si="127">1-alpha*MAX(0,delta-H373)</f>
        <v>1</v>
      </c>
      <c r="K373">
        <f t="shared" ref="K373:K384" si="128">G373*J373</f>
        <v>0.55973254730360966</v>
      </c>
      <c r="L373">
        <f t="shared" ref="L373:L384" si="129">1+COUNTIF(bounds,"&lt;"&amp;ROUND(K373,12))</f>
        <v>3</v>
      </c>
      <c r="N373">
        <f>Processing_index!$AE$4</f>
        <v>3</v>
      </c>
      <c r="O373" t="str">
        <f>Processing_index!$AB$4</f>
        <v>L1</v>
      </c>
    </row>
    <row r="374" spans="1:15" x14ac:dyDescent="0.2">
      <c r="A374" t="s">
        <v>43</v>
      </c>
      <c r="B374">
        <f>AVERAGE(Processing_index!$B$5,Processing_index!$C$5,Processing_index!$D$5)</f>
        <v>0.4802273934251276</v>
      </c>
      <c r="C374">
        <f>AVERAGE(Processing_index!$E$5,Processing_index!$F$5,Processing_index!$J$5)</f>
        <v>0.54920801346047143</v>
      </c>
      <c r="D374">
        <f>AVERAGE(Processing_index!$G$5,Processing_index!$H$5,Processing_index!$I$5)</f>
        <v>0.59271296132636042</v>
      </c>
      <c r="E374">
        <f>AVERAGE(Processing_index!$K$5)</f>
        <v>0.54934718517478587</v>
      </c>
      <c r="F374">
        <f>AVERAGE(Processing_index!$L$5,Processing_index!$M$5,Processing_index!$N$5)</f>
        <v>0.63948188465937417</v>
      </c>
      <c r="G374">
        <f t="shared" si="124"/>
        <v>0.56219548760922389</v>
      </c>
      <c r="H374">
        <f t="shared" si="125"/>
        <v>0.4802273934251276</v>
      </c>
      <c r="I374" t="str">
        <f t="shared" si="126"/>
        <v>C</v>
      </c>
      <c r="J374">
        <f t="shared" si="127"/>
        <v>1</v>
      </c>
      <c r="K374">
        <f t="shared" si="128"/>
        <v>0.56219548760922389</v>
      </c>
      <c r="L374">
        <f t="shared" si="129"/>
        <v>3</v>
      </c>
      <c r="N374">
        <f>Processing_index!$AE$5</f>
        <v>3</v>
      </c>
      <c r="O374" t="str">
        <f>Processing_index!$AB$5</f>
        <v>L1</v>
      </c>
    </row>
    <row r="375" spans="1:15" x14ac:dyDescent="0.2">
      <c r="A375" t="s">
        <v>59</v>
      </c>
      <c r="B375">
        <f>AVERAGE(Processing_index!$B$6,Processing_index!$C$6,Processing_index!$D$6)</f>
        <v>0.4430279712764193</v>
      </c>
      <c r="C375">
        <f>AVERAGE(Processing_index!$E$6,Processing_index!$F$6,Processing_index!$J$6)</f>
        <v>0.72360919419317382</v>
      </c>
      <c r="D375">
        <f>AVERAGE(Processing_index!$G$6,Processing_index!$H$6,Processing_index!$I$6)</f>
        <v>0.34867747763835871</v>
      </c>
      <c r="E375">
        <f>AVERAGE(Processing_index!$K$6)</f>
        <v>0.63287940474519155</v>
      </c>
      <c r="F375">
        <f>AVERAGE(Processing_index!$L$6,Processing_index!$M$6,Processing_index!$N$6)</f>
        <v>0.52377838567197033</v>
      </c>
      <c r="G375">
        <f t="shared" si="124"/>
        <v>0.53439448670502276</v>
      </c>
      <c r="H375">
        <f t="shared" si="125"/>
        <v>0.34867747763835871</v>
      </c>
      <c r="I375" t="str">
        <f t="shared" si="126"/>
        <v>L2</v>
      </c>
      <c r="J375">
        <f t="shared" si="127"/>
        <v>0.98947099105534353</v>
      </c>
      <c r="K375">
        <f t="shared" si="128"/>
        <v>0.52876784237453045</v>
      </c>
      <c r="L375">
        <f t="shared" si="129"/>
        <v>3</v>
      </c>
      <c r="M375">
        <f t="shared" ref="M375:M384" si="130">1+COUNTIF($K$375:$K$384,"&gt;"&amp;K375)</f>
        <v>5</v>
      </c>
      <c r="N375">
        <f>Processing_index!$AE$6</f>
        <v>3</v>
      </c>
      <c r="O375" t="str">
        <f>Processing_index!$AB$6</f>
        <v>L2</v>
      </c>
    </row>
    <row r="376" spans="1:15" x14ac:dyDescent="0.2">
      <c r="A376" t="s">
        <v>51</v>
      </c>
      <c r="B376">
        <f>AVERAGE(Processing_index!$B$7,Processing_index!$C$7,Processing_index!$D$7)</f>
        <v>0.29262275048702674</v>
      </c>
      <c r="C376">
        <f>AVERAGE(Processing_index!$E$7,Processing_index!$F$7,Processing_index!$J$7)</f>
        <v>0.44245650191192709</v>
      </c>
      <c r="D376">
        <f>AVERAGE(Processing_index!$G$7,Processing_index!$H$7,Processing_index!$I$7)</f>
        <v>0.5332085800536488</v>
      </c>
      <c r="E376">
        <f>AVERAGE(Processing_index!$K$7)</f>
        <v>0.47634423697880102</v>
      </c>
      <c r="F376">
        <f>AVERAGE(Processing_index!$L$7,Processing_index!$M$7,Processing_index!$N$7)</f>
        <v>0.47884894822063589</v>
      </c>
      <c r="G376">
        <f t="shared" si="124"/>
        <v>0.4446962035304079</v>
      </c>
      <c r="H376">
        <f t="shared" si="125"/>
        <v>0.29262275048702674</v>
      </c>
      <c r="I376" t="str">
        <f t="shared" si="126"/>
        <v>C</v>
      </c>
      <c r="J376">
        <f t="shared" si="127"/>
        <v>0.96704910019481072</v>
      </c>
      <c r="K376">
        <f t="shared" si="128"/>
        <v>0.43004306348412935</v>
      </c>
      <c r="L376">
        <f t="shared" si="129"/>
        <v>3</v>
      </c>
      <c r="M376">
        <f t="shared" si="130"/>
        <v>7</v>
      </c>
      <c r="N376">
        <f>Processing_index!$AE$7</f>
        <v>3</v>
      </c>
      <c r="O376" t="str">
        <f>Processing_index!$AB$7</f>
        <v>C</v>
      </c>
    </row>
    <row r="377" spans="1:15" x14ac:dyDescent="0.2">
      <c r="A377" t="s">
        <v>61</v>
      </c>
      <c r="B377">
        <f>AVERAGE(Processing_index!$B$8,Processing_index!$C$8,Processing_index!$D$8)</f>
        <v>0.44050748201577455</v>
      </c>
      <c r="C377">
        <f>AVERAGE(Processing_index!$E$8,Processing_index!$F$8,Processing_index!$J$8)</f>
        <v>0.4449221287069694</v>
      </c>
      <c r="D377">
        <f>AVERAGE(Processing_index!$G$8,Processing_index!$H$8,Processing_index!$I$8)</f>
        <v>0.28762351537264413</v>
      </c>
      <c r="E377">
        <f>AVERAGE(Processing_index!$K$8)</f>
        <v>0.26295100379053771</v>
      </c>
      <c r="F377">
        <f>AVERAGE(Processing_index!$L$8,Processing_index!$M$8,Processing_index!$N$8)</f>
        <v>0.37810403578378637</v>
      </c>
      <c r="G377">
        <f t="shared" si="124"/>
        <v>0.36282163313394239</v>
      </c>
      <c r="H377">
        <f t="shared" si="125"/>
        <v>0.26295100379053771</v>
      </c>
      <c r="I377" t="str">
        <f t="shared" si="126"/>
        <v>L3</v>
      </c>
      <c r="J377">
        <f t="shared" si="127"/>
        <v>0.95518040151621508</v>
      </c>
      <c r="K377">
        <f t="shared" si="128"/>
        <v>0.346560113215648</v>
      </c>
      <c r="L377">
        <f t="shared" si="129"/>
        <v>2</v>
      </c>
      <c r="M377">
        <f t="shared" si="130"/>
        <v>8</v>
      </c>
      <c r="N377">
        <f>Processing_index!$AE$8</f>
        <v>2</v>
      </c>
      <c r="O377" t="str">
        <f>Processing_index!$AB$8</f>
        <v>L1</v>
      </c>
    </row>
    <row r="378" spans="1:15" x14ac:dyDescent="0.2">
      <c r="A378" t="s">
        <v>42</v>
      </c>
      <c r="B378">
        <f>AVERAGE(Processing_index!$B$9,Processing_index!$C$9,Processing_index!$D$9)</f>
        <v>0.56305678509086798</v>
      </c>
      <c r="C378">
        <f>AVERAGE(Processing_index!$E$9,Processing_index!$F$9,Processing_index!$J$9)</f>
        <v>0.57920685958491946</v>
      </c>
      <c r="D378">
        <f>AVERAGE(Processing_index!$G$9,Processing_index!$H$9,Processing_index!$I$9)</f>
        <v>0.67117889658153684</v>
      </c>
      <c r="E378">
        <f>AVERAGE(Processing_index!$K$9)</f>
        <v>0.59778183349712199</v>
      </c>
      <c r="F378">
        <f>AVERAGE(Processing_index!$L$9,Processing_index!$M$9,Processing_index!$N$9)</f>
        <v>0.81207893092012473</v>
      </c>
      <c r="G378">
        <f t="shared" si="124"/>
        <v>0.64466066113491416</v>
      </c>
      <c r="H378">
        <f t="shared" si="125"/>
        <v>0.56305678509086798</v>
      </c>
      <c r="I378" t="str">
        <f t="shared" si="126"/>
        <v>C</v>
      </c>
      <c r="J378">
        <f t="shared" si="127"/>
        <v>1</v>
      </c>
      <c r="K378">
        <f t="shared" si="128"/>
        <v>0.64466066113491416</v>
      </c>
      <c r="L378">
        <f t="shared" si="129"/>
        <v>4</v>
      </c>
      <c r="M378">
        <f t="shared" si="130"/>
        <v>3</v>
      </c>
      <c r="N378">
        <f>Processing_index!$AE$9</f>
        <v>4</v>
      </c>
      <c r="O378" t="str">
        <f>Processing_index!$AB$9</f>
        <v>L1</v>
      </c>
    </row>
    <row r="379" spans="1:15" x14ac:dyDescent="0.2">
      <c r="A379" t="s">
        <v>64</v>
      </c>
      <c r="B379">
        <f>AVERAGE(Processing_index!$B$10,Processing_index!$C$10,Processing_index!$D$10)</f>
        <v>0.35071163000096101</v>
      </c>
      <c r="C379">
        <f>AVERAGE(Processing_index!$E$10,Processing_index!$F$10,Processing_index!$J$10)</f>
        <v>0.36102355789434176</v>
      </c>
      <c r="D379">
        <f>AVERAGE(Processing_index!$G$10,Processing_index!$H$10,Processing_index!$I$10)</f>
        <v>0.60004571329783574</v>
      </c>
      <c r="E379">
        <f>AVERAGE(Processing_index!$K$10)</f>
        <v>0.49262951003790539</v>
      </c>
      <c r="F379">
        <f>AVERAGE(Processing_index!$L$10,Processing_index!$M$10,Processing_index!$N$10)</f>
        <v>0.62284485524938493</v>
      </c>
      <c r="G379">
        <f t="shared" si="124"/>
        <v>0.48545105329608579</v>
      </c>
      <c r="H379">
        <f t="shared" si="125"/>
        <v>0.35071163000096101</v>
      </c>
      <c r="I379" t="str">
        <f t="shared" si="126"/>
        <v>C</v>
      </c>
      <c r="J379">
        <f t="shared" si="127"/>
        <v>0.9902846520003844</v>
      </c>
      <c r="K379">
        <f t="shared" si="128"/>
        <v>0.48073472737653439</v>
      </c>
      <c r="L379">
        <f t="shared" si="129"/>
        <v>3</v>
      </c>
      <c r="M379">
        <f t="shared" si="130"/>
        <v>6</v>
      </c>
      <c r="N379">
        <f>Processing_index!$AE$10</f>
        <v>3</v>
      </c>
      <c r="O379" t="str">
        <f>Processing_index!$AB$10</f>
        <v>L1</v>
      </c>
    </row>
    <row r="380" spans="1:15" x14ac:dyDescent="0.2">
      <c r="A380" t="s">
        <v>54</v>
      </c>
      <c r="B380">
        <f>AVERAGE(Processing_index!$B$11,Processing_index!$C$11,Processing_index!$D$11)</f>
        <v>0.69463420725364811</v>
      </c>
      <c r="C380">
        <f>AVERAGE(Processing_index!$E$11,Processing_index!$F$11,Processing_index!$J$11)</f>
        <v>0.58735432414531563</v>
      </c>
      <c r="D380">
        <f>AVERAGE(Processing_index!$G$11,Processing_index!$H$11,Processing_index!$I$11)</f>
        <v>0.75697314098589785</v>
      </c>
      <c r="E380">
        <f>AVERAGE(Processing_index!$K$11)</f>
        <v>0.81749262951003776</v>
      </c>
      <c r="F380">
        <f>AVERAGE(Processing_index!$L$11,Processing_index!$M$11,Processing_index!$N$11)</f>
        <v>0.88061902134286851</v>
      </c>
      <c r="G380">
        <f t="shared" si="124"/>
        <v>0.74741466464755368</v>
      </c>
      <c r="H380">
        <f t="shared" si="125"/>
        <v>0.58735432414531563</v>
      </c>
      <c r="I380" t="str">
        <f t="shared" si="126"/>
        <v>L1</v>
      </c>
      <c r="J380">
        <f t="shared" si="127"/>
        <v>1</v>
      </c>
      <c r="K380">
        <f t="shared" si="128"/>
        <v>0.74741466464755368</v>
      </c>
      <c r="L380">
        <f t="shared" si="129"/>
        <v>4</v>
      </c>
      <c r="M380">
        <f t="shared" si="130"/>
        <v>1</v>
      </c>
      <c r="N380">
        <f>Processing_index!$AE$11</f>
        <v>4</v>
      </c>
      <c r="O380" t="str">
        <f>Processing_index!$AB$11</f>
        <v>L1</v>
      </c>
    </row>
    <row r="381" spans="1:15" x14ac:dyDescent="0.2">
      <c r="A381" t="s">
        <v>56</v>
      </c>
      <c r="B381">
        <f>AVERAGE(Processing_index!$B$12,Processing_index!$C$12,Processing_index!$D$12)</f>
        <v>0.71082122228055045</v>
      </c>
      <c r="C381">
        <f>AVERAGE(Processing_index!$E$12,Processing_index!$F$12,Processing_index!$J$12)</f>
        <v>0.49176085000973407</v>
      </c>
      <c r="D381">
        <f>AVERAGE(Processing_index!$G$12,Processing_index!$H$12,Processing_index!$I$12)</f>
        <v>0.5611371100196817</v>
      </c>
      <c r="E381">
        <f>AVERAGE(Processing_index!$K$12)</f>
        <v>0.4684823810192334</v>
      </c>
      <c r="F381">
        <f>AVERAGE(Processing_index!$L$12,Processing_index!$M$12,Processing_index!$N$12)</f>
        <v>0.59637572515620552</v>
      </c>
      <c r="G381">
        <f t="shared" si="124"/>
        <v>0.56571545769708098</v>
      </c>
      <c r="H381">
        <f t="shared" si="125"/>
        <v>0.4684823810192334</v>
      </c>
      <c r="I381" t="str">
        <f t="shared" si="126"/>
        <v>L3</v>
      </c>
      <c r="J381">
        <f t="shared" si="127"/>
        <v>1</v>
      </c>
      <c r="K381">
        <f t="shared" si="128"/>
        <v>0.56571545769708098</v>
      </c>
      <c r="L381">
        <f t="shared" si="129"/>
        <v>3</v>
      </c>
      <c r="M381">
        <f t="shared" si="130"/>
        <v>4</v>
      </c>
      <c r="N381">
        <f>Processing_index!$AE$12</f>
        <v>3</v>
      </c>
      <c r="O381" t="str">
        <f>Processing_index!$AB$12</f>
        <v>L1</v>
      </c>
    </row>
    <row r="382" spans="1:15" x14ac:dyDescent="0.2">
      <c r="A382" t="s">
        <v>45</v>
      </c>
      <c r="B382">
        <f>AVERAGE(Processing_index!$B$13,Processing_index!$C$13,Processing_index!$D$13)</f>
        <v>0.57839515879101233</v>
      </c>
      <c r="C382">
        <f>AVERAGE(Processing_index!$E$13,Processing_index!$F$13,Processing_index!$J$13)</f>
        <v>0.54446952700027829</v>
      </c>
      <c r="D382">
        <f>AVERAGE(Processing_index!$G$13,Processing_index!$H$13,Processing_index!$I$13)</f>
        <v>0.62584075418150009</v>
      </c>
      <c r="E382">
        <f>AVERAGE(Processing_index!$K$13)</f>
        <v>0.92320651410922361</v>
      </c>
      <c r="F382">
        <f>AVERAGE(Processing_index!$L$13,Processing_index!$M$13,Processing_index!$N$13)</f>
        <v>0.61094534851133464</v>
      </c>
      <c r="G382">
        <f t="shared" si="124"/>
        <v>0.65657146051866977</v>
      </c>
      <c r="H382">
        <f t="shared" si="125"/>
        <v>0.54446952700027829</v>
      </c>
      <c r="I382" t="str">
        <f t="shared" si="126"/>
        <v>L1</v>
      </c>
      <c r="J382">
        <f t="shared" si="127"/>
        <v>1</v>
      </c>
      <c r="K382">
        <f t="shared" si="128"/>
        <v>0.65657146051866977</v>
      </c>
      <c r="L382">
        <f t="shared" si="129"/>
        <v>4</v>
      </c>
      <c r="M382">
        <f t="shared" si="130"/>
        <v>2</v>
      </c>
      <c r="N382">
        <f>Processing_index!$AE$13</f>
        <v>4</v>
      </c>
      <c r="O382" t="str">
        <f>Processing_index!$AB$13</f>
        <v>L1</v>
      </c>
    </row>
    <row r="383" spans="1:15" x14ac:dyDescent="0.2">
      <c r="A383" t="s">
        <v>40</v>
      </c>
      <c r="B383">
        <f>AVERAGE(Processing_index!$B$14,Processing_index!$C$14,Processing_index!$D$14)</f>
        <v>0.21832676937677528</v>
      </c>
      <c r="C383">
        <f>AVERAGE(Processing_index!$E$14,Processing_index!$F$14,Processing_index!$J$14)</f>
        <v>0.32341448779585041</v>
      </c>
      <c r="D383">
        <f>AVERAGE(Processing_index!$G$14,Processing_index!$H$14,Processing_index!$I$14)</f>
        <v>0.28034164118021382</v>
      </c>
      <c r="E383">
        <f>AVERAGE(Processing_index!$K$14)</f>
        <v>0.15892180261125929</v>
      </c>
      <c r="F383">
        <f>AVERAGE(Processing_index!$L$14,Processing_index!$M$14,Processing_index!$N$14)</f>
        <v>0.30622596278339304</v>
      </c>
      <c r="G383">
        <f t="shared" si="124"/>
        <v>0.25744613274949835</v>
      </c>
      <c r="H383">
        <f t="shared" si="125"/>
        <v>0.15892180261125929</v>
      </c>
      <c r="I383" t="str">
        <f t="shared" si="126"/>
        <v>L3</v>
      </c>
      <c r="J383">
        <f t="shared" si="127"/>
        <v>0.91356872104450371</v>
      </c>
      <c r="K383">
        <f t="shared" si="128"/>
        <v>0.23519473423381274</v>
      </c>
      <c r="L383">
        <f t="shared" si="129"/>
        <v>2</v>
      </c>
      <c r="M383">
        <f t="shared" si="130"/>
        <v>10</v>
      </c>
      <c r="N383">
        <f>Processing_index!$AE$14</f>
        <v>2</v>
      </c>
      <c r="O383" t="str">
        <f>Processing_index!$AB$14</f>
        <v>L1</v>
      </c>
    </row>
    <row r="384" spans="1:15" x14ac:dyDescent="0.2">
      <c r="A384" t="s">
        <v>130</v>
      </c>
      <c r="B384">
        <f>AVERAGE(Processing_index!$B$15,Processing_index!$C$15,Processing_index!$D$15)</f>
        <v>0.17392266674442028</v>
      </c>
      <c r="C384">
        <f>AVERAGE(Processing_index!$E$15,Processing_index!$F$15,Processing_index!$J$15)</f>
        <v>0.31580627615643864</v>
      </c>
      <c r="D384">
        <f>AVERAGE(Processing_index!$G$15,Processing_index!$H$15,Processing_index!$I$15)</f>
        <v>0.36886287936698087</v>
      </c>
      <c r="E384">
        <f>AVERAGE(Processing_index!$K$15)</f>
        <v>0.23725958163695068</v>
      </c>
      <c r="F384">
        <f>AVERAGE(Processing_index!$L$15,Processing_index!$M$15,Processing_index!$N$15)</f>
        <v>0.31068594867071531</v>
      </c>
      <c r="G384">
        <f t="shared" si="124"/>
        <v>0.28130747051510119</v>
      </c>
      <c r="H384">
        <f t="shared" si="125"/>
        <v>0.17392266674442028</v>
      </c>
      <c r="I384" t="str">
        <f t="shared" si="126"/>
        <v>C</v>
      </c>
      <c r="J384">
        <f t="shared" si="127"/>
        <v>0.91956906669776806</v>
      </c>
      <c r="K384">
        <f t="shared" si="128"/>
        <v>0.25868164811668148</v>
      </c>
      <c r="L384">
        <f t="shared" si="129"/>
        <v>2</v>
      </c>
      <c r="M384">
        <f t="shared" si="130"/>
        <v>9</v>
      </c>
      <c r="N384">
        <f>Processing_index!$AE$15</f>
        <v>2</v>
      </c>
      <c r="O384" t="str">
        <f>Processing_index!$AB$15</f>
        <v>C</v>
      </c>
    </row>
    <row r="385" spans="1:10" x14ac:dyDescent="0.2">
      <c r="A385" s="3" t="s">
        <v>242</v>
      </c>
      <c r="B385">
        <f>1-6*SUMPRODUCT((Processing_index!$AF$6:$AF$15-$M$375:$M$384)^2)/(10*(10^2-1))</f>
        <v>0.98787878787878791</v>
      </c>
    </row>
    <row r="386" spans="1:10" x14ac:dyDescent="0.2">
      <c r="A386" s="3" t="s">
        <v>243</v>
      </c>
      <c r="B386">
        <f>SUMPRODUCT(--(Processing_index!$AF$6:$AF$15&lt;&gt;$M$375:$M$384))</f>
        <v>2</v>
      </c>
    </row>
    <row r="387" spans="1:10" x14ac:dyDescent="0.2">
      <c r="A387" s="3" t="s">
        <v>280</v>
      </c>
      <c r="B387">
        <f>SUMPRODUCT(--($L$373:$L$384&lt;&gt;$N$373:$N$384))</f>
        <v>0</v>
      </c>
    </row>
    <row r="388" spans="1:10" x14ac:dyDescent="0.2">
      <c r="A388" s="3" t="s">
        <v>281</v>
      </c>
      <c r="B388">
        <f>COUNTIF($H$373:$H$384,"&lt;"&amp;delta)</f>
        <v>6</v>
      </c>
    </row>
    <row r="389" spans="1:10" x14ac:dyDescent="0.2">
      <c r="A389" s="3" t="s">
        <v>282</v>
      </c>
      <c r="B389">
        <f>COUNTIF($I$373:$I$384,"L1")</f>
        <v>2</v>
      </c>
    </row>
    <row r="390" spans="1:10" x14ac:dyDescent="0.2">
      <c r="A390" s="3" t="s">
        <v>283</v>
      </c>
      <c r="B390">
        <f>COUNTIF($O$373:$O$384,"L1")</f>
        <v>9</v>
      </c>
    </row>
    <row r="393" spans="1:10" x14ac:dyDescent="0.2">
      <c r="A393" s="3" t="s">
        <v>284</v>
      </c>
    </row>
    <row r="394" spans="1:10" x14ac:dyDescent="0.2">
      <c r="A394" s="3" t="s">
        <v>216</v>
      </c>
      <c r="B394">
        <f>SQRT(SUMPRODUCT($B$375:$B$384,$B$375:$B$384))</f>
        <v>1.5219134054474834</v>
      </c>
      <c r="C394">
        <f>SQRT(SUMPRODUCT($C$375:$C$384,$C$375:$C$384))</f>
        <v>1.5718599666209268</v>
      </c>
      <c r="D394">
        <f>SQRT(SUMPRODUCT($D$375:$D$384,$D$375:$D$384))</f>
        <v>1.6713353136573739</v>
      </c>
      <c r="E394">
        <f>SQRT(SUMPRODUCT($E$375:$E$384,$E$375:$E$384))</f>
        <v>1.7658535655069212</v>
      </c>
      <c r="F394">
        <f>SQRT(SUMPRODUCT($F$375:$F$384,$F$375:$F$384))</f>
        <v>1.8408473218326031</v>
      </c>
    </row>
    <row r="395" spans="1:10" x14ac:dyDescent="0.2">
      <c r="A395" s="3" t="s">
        <v>217</v>
      </c>
      <c r="B395">
        <f>-SUMPRODUCT($B$375:$B$384/SUM($B$375:$B$384)*LN($B$375:$B$384/SUM($B$375:$B$384)))/LN(10)</f>
        <v>0.96315915057563095</v>
      </c>
      <c r="C395">
        <f>-SUMPRODUCT($C$375:$C$384/SUM($C$375:$C$384)*LN($C$375:$C$384/SUM($C$375:$C$384)))/LN(10)</f>
        <v>0.98571774061483086</v>
      </c>
      <c r="D395">
        <f>-SUMPRODUCT($D$375:$D$384/SUM($D$375:$D$384)*LN($D$375:$D$384/SUM($D$375:$D$384)))/LN(10)</f>
        <v>0.97693325999347957</v>
      </c>
      <c r="E395">
        <f>-SUMPRODUCT($E$375:$E$384/SUM($E$375:$E$384)*LN($E$375:$E$384/SUM($E$375:$E$384)))/LN(10)</f>
        <v>0.95143991207157697</v>
      </c>
      <c r="F395">
        <f>-SUMPRODUCT($F$375:$F$384/SUM($F$375:$F$384)*LN($F$375:$F$384/SUM($F$375:$F$384)))/LN(10)</f>
        <v>0.97561376221145268</v>
      </c>
    </row>
    <row r="396" spans="1:10" x14ac:dyDescent="0.2">
      <c r="A396" s="3" t="s">
        <v>219</v>
      </c>
      <c r="B396">
        <f>(1-B395)/(5-SUM($B$395:$F$395))</f>
        <v>0.25038607630850779</v>
      </c>
      <c r="C396">
        <f>(1-C395)/(5-SUM($B$395:$F$395))</f>
        <v>9.7068307168493212E-2</v>
      </c>
      <c r="D396">
        <f>(1-D395)/(5-SUM($B$395:$F$395))</f>
        <v>0.15677137236799876</v>
      </c>
      <c r="E396">
        <f>(1-E395)/(5-SUM($B$395:$F$395))</f>
        <v>0.33003500384959472</v>
      </c>
      <c r="F396">
        <f>(1-F395)/(5-SUM($B$395:$F$395))</f>
        <v>0.16573924030540177</v>
      </c>
    </row>
    <row r="398" spans="1:10" x14ac:dyDescent="0.2">
      <c r="A398" s="3" t="s">
        <v>125</v>
      </c>
      <c r="B398" s="3" t="s">
        <v>142</v>
      </c>
      <c r="C398" s="3" t="s">
        <v>156</v>
      </c>
      <c r="D398" s="3" t="s">
        <v>163</v>
      </c>
      <c r="E398" s="3" t="s">
        <v>174</v>
      </c>
      <c r="F398" s="3" t="s">
        <v>183</v>
      </c>
      <c r="G398" s="3" t="s">
        <v>222</v>
      </c>
      <c r="H398" s="3" t="s">
        <v>223</v>
      </c>
      <c r="I398" s="3" t="s">
        <v>224</v>
      </c>
      <c r="J398" s="3" t="s">
        <v>225</v>
      </c>
    </row>
    <row r="399" spans="1:10" x14ac:dyDescent="0.2">
      <c r="A399" t="s">
        <v>59</v>
      </c>
      <c r="B399">
        <f t="shared" ref="B399:F408" si="131">B$396*B375/B$394</f>
        <v>7.288721882977639E-2</v>
      </c>
      <c r="C399">
        <f t="shared" si="131"/>
        <v>4.4685608784149393E-2</v>
      </c>
      <c r="D399">
        <f t="shared" si="131"/>
        <v>3.2705972426059576E-2</v>
      </c>
      <c r="E399">
        <f t="shared" si="131"/>
        <v>0.1182840756795413</v>
      </c>
      <c r="F399">
        <f t="shared" si="131"/>
        <v>4.7157974863032227E-2</v>
      </c>
      <c r="G399">
        <f t="shared" ref="G399:G408" si="132">SQRT(SUMPRODUCT((B399:F399-$B$409:$F$409)^2))</f>
        <v>8.5932170213323084E-2</v>
      </c>
      <c r="H399">
        <f t="shared" ref="H399:H408" si="133">SQRT(SUMPRODUCT((B399:F399-$B$410:$F$410)^2))</f>
        <v>0.10423925906879621</v>
      </c>
      <c r="I399">
        <f t="shared" ref="I399:I408" si="134">H399/(G399+H399)</f>
        <v>0.54813312105972178</v>
      </c>
      <c r="J399">
        <f t="shared" ref="J399:J408" si="135">1+COUNTIF($I$399:$I$408,"&gt;"&amp;I399)</f>
        <v>5</v>
      </c>
    </row>
    <row r="400" spans="1:10" x14ac:dyDescent="0.2">
      <c r="A400" t="s">
        <v>51</v>
      </c>
      <c r="B400">
        <f t="shared" si="131"/>
        <v>4.8142464657184067E-2</v>
      </c>
      <c r="C400">
        <f t="shared" si="131"/>
        <v>2.7323365025073827E-2</v>
      </c>
      <c r="D400">
        <f t="shared" si="131"/>
        <v>5.0015003075881213E-2</v>
      </c>
      <c r="E400">
        <f t="shared" si="131"/>
        <v>8.9027921202458657E-2</v>
      </c>
      <c r="F400">
        <f t="shared" si="131"/>
        <v>4.3112788311048103E-2</v>
      </c>
      <c r="G400">
        <f t="shared" si="132"/>
        <v>0.11730069491542984</v>
      </c>
      <c r="H400">
        <f t="shared" si="133"/>
        <v>6.9037795740188784E-2</v>
      </c>
      <c r="I400">
        <f t="shared" si="134"/>
        <v>0.37049669929859497</v>
      </c>
      <c r="J400">
        <f t="shared" si="135"/>
        <v>7</v>
      </c>
    </row>
    <row r="401" spans="1:10" x14ac:dyDescent="0.2">
      <c r="A401" t="s">
        <v>61</v>
      </c>
      <c r="B401">
        <f t="shared" si="131"/>
        <v>7.247254647450857E-2</v>
      </c>
      <c r="C401">
        <f t="shared" si="131"/>
        <v>2.7475626819499787E-2</v>
      </c>
      <c r="D401">
        <f t="shared" si="131"/>
        <v>2.6979106383867957E-2</v>
      </c>
      <c r="E401">
        <f t="shared" si="131"/>
        <v>4.9145091780785473E-2</v>
      </c>
      <c r="F401">
        <f t="shared" si="131"/>
        <v>3.4042299382452415E-2</v>
      </c>
      <c r="G401">
        <f t="shared" si="132"/>
        <v>0.14658394381167703</v>
      </c>
      <c r="H401">
        <f t="shared" si="133"/>
        <v>4.9066605522066507E-2</v>
      </c>
      <c r="I401">
        <f t="shared" si="134"/>
        <v>0.25078695505407439</v>
      </c>
      <c r="J401">
        <f t="shared" si="135"/>
        <v>8</v>
      </c>
    </row>
    <row r="402" spans="1:10" x14ac:dyDescent="0.2">
      <c r="A402" t="s">
        <v>42</v>
      </c>
      <c r="B402">
        <f t="shared" si="131"/>
        <v>9.2634428905850108E-2</v>
      </c>
      <c r="C402">
        <f t="shared" si="131"/>
        <v>3.5768217623832428E-2</v>
      </c>
      <c r="D402">
        <f t="shared" si="131"/>
        <v>6.2956628667930614E-2</v>
      </c>
      <c r="E402">
        <f t="shared" si="131"/>
        <v>0.11172439978781876</v>
      </c>
      <c r="F402">
        <f t="shared" si="131"/>
        <v>7.3114887629428027E-2</v>
      </c>
      <c r="G402">
        <f t="shared" si="132"/>
        <v>6.6877391335686334E-2</v>
      </c>
      <c r="H402">
        <f t="shared" si="133"/>
        <v>0.12045378561712851</v>
      </c>
      <c r="I402">
        <f t="shared" si="134"/>
        <v>0.64299913968654843</v>
      </c>
      <c r="J402">
        <f t="shared" si="135"/>
        <v>3</v>
      </c>
    </row>
    <row r="403" spans="1:10" x14ac:dyDescent="0.2">
      <c r="A403" t="s">
        <v>64</v>
      </c>
      <c r="B403">
        <f t="shared" si="131"/>
        <v>5.7699280811500768E-2</v>
      </c>
      <c r="C403">
        <f t="shared" si="131"/>
        <v>2.2294572262747586E-2</v>
      </c>
      <c r="D403">
        <f t="shared" si="131"/>
        <v>5.6284330970895122E-2</v>
      </c>
      <c r="E403">
        <f t="shared" si="131"/>
        <v>9.2071610816217953E-2</v>
      </c>
      <c r="F403">
        <f t="shared" si="131"/>
        <v>5.6077346509320211E-2</v>
      </c>
      <c r="G403">
        <f t="shared" si="132"/>
        <v>0.10603192341719762</v>
      </c>
      <c r="H403">
        <f t="shared" si="133"/>
        <v>8.0346868487581088E-2</v>
      </c>
      <c r="I403">
        <f t="shared" si="134"/>
        <v>0.43109448058140898</v>
      </c>
      <c r="J403">
        <f t="shared" si="135"/>
        <v>6</v>
      </c>
    </row>
    <row r="404" spans="1:10" x14ac:dyDescent="0.2">
      <c r="A404" t="s">
        <v>54</v>
      </c>
      <c r="B404">
        <f t="shared" si="131"/>
        <v>0.11428162272660489</v>
      </c>
      <c r="C404">
        <f t="shared" si="131"/>
        <v>3.6271354423157549E-2</v>
      </c>
      <c r="D404">
        <f t="shared" si="131"/>
        <v>7.1004134950266293E-2</v>
      </c>
      <c r="E404">
        <f t="shared" si="131"/>
        <v>0.15278797087000198</v>
      </c>
      <c r="F404">
        <f t="shared" si="131"/>
        <v>7.9285840745637687E-2</v>
      </c>
      <c r="G404">
        <f t="shared" si="132"/>
        <v>2.1639320741068554E-2</v>
      </c>
      <c r="H404">
        <f t="shared" si="133"/>
        <v>0.16566088463091411</v>
      </c>
      <c r="I404">
        <f t="shared" si="134"/>
        <v>0.88446718091903664</v>
      </c>
      <c r="J404">
        <f t="shared" si="135"/>
        <v>1</v>
      </c>
    </row>
    <row r="405" spans="1:10" x14ac:dyDescent="0.2">
      <c r="A405" t="s">
        <v>56</v>
      </c>
      <c r="B405">
        <f t="shared" si="131"/>
        <v>0.11694471982873024</v>
      </c>
      <c r="C405">
        <f t="shared" si="131"/>
        <v>3.0368095285739864E-2</v>
      </c>
      <c r="D405">
        <f t="shared" si="131"/>
        <v>5.2634701191045519E-2</v>
      </c>
      <c r="E405">
        <f t="shared" si="131"/>
        <v>8.7558553802712796E-2</v>
      </c>
      <c r="F405">
        <f t="shared" si="131"/>
        <v>5.3694219206388283E-2</v>
      </c>
      <c r="G405">
        <f t="shared" si="132"/>
        <v>9.176151640148604E-2</v>
      </c>
      <c r="H405">
        <f t="shared" si="133"/>
        <v>0.11244518819354597</v>
      </c>
      <c r="I405">
        <f t="shared" si="134"/>
        <v>0.550643958613108</v>
      </c>
      <c r="J405">
        <f t="shared" si="135"/>
        <v>4</v>
      </c>
    </row>
    <row r="406" spans="1:10" x14ac:dyDescent="0.2">
      <c r="A406" t="s">
        <v>45</v>
      </c>
      <c r="B406">
        <f t="shared" si="131"/>
        <v>9.5157907044610274E-2</v>
      </c>
      <c r="C406">
        <f t="shared" si="131"/>
        <v>3.3623055751182462E-2</v>
      </c>
      <c r="D406">
        <f t="shared" si="131"/>
        <v>5.8703907657018863E-2</v>
      </c>
      <c r="E406">
        <f t="shared" si="131"/>
        <v>0.17254571465587037</v>
      </c>
      <c r="F406">
        <f t="shared" si="131"/>
        <v>5.5005983782285314E-2</v>
      </c>
      <c r="G406">
        <f t="shared" si="132"/>
        <v>3.6576663824409938E-2</v>
      </c>
      <c r="H406">
        <f t="shared" si="133"/>
        <v>0.1638130976321821</v>
      </c>
      <c r="I406">
        <f t="shared" si="134"/>
        <v>0.81747239200974298</v>
      </c>
      <c r="J406">
        <f t="shared" si="135"/>
        <v>2</v>
      </c>
    </row>
    <row r="407" spans="1:10" x14ac:dyDescent="0.2">
      <c r="A407" t="s">
        <v>40</v>
      </c>
      <c r="B407">
        <f t="shared" si="131"/>
        <v>3.5919246746689885E-2</v>
      </c>
      <c r="C407">
        <f t="shared" si="131"/>
        <v>1.9972069720431643E-2</v>
      </c>
      <c r="D407">
        <f t="shared" si="131"/>
        <v>2.6296066062018789E-2</v>
      </c>
      <c r="E407">
        <f t="shared" si="131"/>
        <v>2.9702212437719779E-2</v>
      </c>
      <c r="F407">
        <f t="shared" si="131"/>
        <v>2.7570813631074758E-2</v>
      </c>
      <c r="G407">
        <f t="shared" si="132"/>
        <v>0.17959233803351804</v>
      </c>
      <c r="H407">
        <f t="shared" si="133"/>
        <v>7.3204815526056012E-3</v>
      </c>
      <c r="I407">
        <f t="shared" si="134"/>
        <v>3.916521921190403E-2</v>
      </c>
      <c r="J407">
        <f t="shared" si="135"/>
        <v>10</v>
      </c>
    </row>
    <row r="408" spans="1:10" x14ac:dyDescent="0.2">
      <c r="A408" t="s">
        <v>130</v>
      </c>
      <c r="B408">
        <f t="shared" si="131"/>
        <v>2.86138580233107E-2</v>
      </c>
      <c r="C408">
        <f t="shared" si="131"/>
        <v>1.9502233831675639E-2</v>
      </c>
      <c r="D408">
        <f t="shared" si="131"/>
        <v>3.4599364556852662E-2</v>
      </c>
      <c r="E408">
        <f t="shared" si="131"/>
        <v>4.4343409028044539E-2</v>
      </c>
      <c r="F408">
        <f t="shared" si="131"/>
        <v>2.7972364951475259E-2</v>
      </c>
      <c r="G408">
        <f t="shared" si="132"/>
        <v>0.16979621549095472</v>
      </c>
      <c r="H408">
        <f t="shared" si="133"/>
        <v>1.6836586558853409E-2</v>
      </c>
      <c r="I408">
        <f t="shared" si="134"/>
        <v>9.0212365532400349E-2</v>
      </c>
      <c r="J408">
        <f t="shared" si="135"/>
        <v>9</v>
      </c>
    </row>
    <row r="409" spans="1:10" x14ac:dyDescent="0.2">
      <c r="A409" t="s">
        <v>226</v>
      </c>
      <c r="B409">
        <f>MAX(B399:B408)</f>
        <v>0.11694471982873024</v>
      </c>
      <c r="C409">
        <f>MAX(C399:C408)</f>
        <v>4.4685608784149393E-2</v>
      </c>
      <c r="D409">
        <f>MAX(D399:D408)</f>
        <v>7.1004134950266293E-2</v>
      </c>
      <c r="E409">
        <f>MAX(E399:E408)</f>
        <v>0.17254571465587037</v>
      </c>
      <c r="F409">
        <f>MAX(F399:F408)</f>
        <v>7.9285840745637687E-2</v>
      </c>
    </row>
    <row r="410" spans="1:10" x14ac:dyDescent="0.2">
      <c r="A410" t="s">
        <v>227</v>
      </c>
      <c r="B410">
        <f>MIN(B399:B408)</f>
        <v>2.86138580233107E-2</v>
      </c>
      <c r="C410">
        <f>MIN(C399:C408)</f>
        <v>1.9502233831675639E-2</v>
      </c>
      <c r="D410">
        <f>MIN(D399:D408)</f>
        <v>2.6296066062018789E-2</v>
      </c>
      <c r="E410">
        <f>MIN(E399:E408)</f>
        <v>2.9702212437719779E-2</v>
      </c>
      <c r="F410">
        <f>MIN(F399:F408)</f>
        <v>2.7570813631074758E-2</v>
      </c>
    </row>
    <row r="412" spans="1:10" x14ac:dyDescent="0.2">
      <c r="A412" s="3" t="s">
        <v>285</v>
      </c>
      <c r="B412">
        <f>1-6*SUMPRODUCT(($M$375:$M$384-$J$399:$J$408)^2)/(10*(10^2-1))</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1"/>
  <sheetViews>
    <sheetView workbookViewId="0"/>
  </sheetViews>
  <sheetFormatPr baseColWidth="10" defaultColWidth="8.83203125" defaultRowHeight="15" x14ac:dyDescent="0.2"/>
  <cols>
    <col min="1" max="1" width="44" customWidth="1"/>
  </cols>
  <sheetData>
    <row r="1" spans="1:11" ht="17" x14ac:dyDescent="0.2">
      <c r="A1" s="1" t="s">
        <v>286</v>
      </c>
    </row>
    <row r="3" spans="1:11" x14ac:dyDescent="0.2">
      <c r="A3" s="3" t="s">
        <v>125</v>
      </c>
      <c r="B3" s="3" t="s">
        <v>287</v>
      </c>
      <c r="C3" s="3" t="s">
        <v>288</v>
      </c>
      <c r="D3" s="3" t="s">
        <v>289</v>
      </c>
      <c r="E3" s="3" t="s">
        <v>290</v>
      </c>
      <c r="F3" s="3" t="s">
        <v>291</v>
      </c>
      <c r="G3" s="3" t="s">
        <v>292</v>
      </c>
      <c r="H3" s="3" t="s">
        <v>293</v>
      </c>
      <c r="I3" s="3" t="s">
        <v>294</v>
      </c>
      <c r="J3" s="3" t="s">
        <v>295</v>
      </c>
      <c r="K3" s="3" t="s">
        <v>296</v>
      </c>
    </row>
    <row r="4" spans="1:11" x14ac:dyDescent="0.2">
      <c r="A4" t="s">
        <v>65</v>
      </c>
      <c r="B4">
        <f>Processing_index!$AD$4/Processing_index!$AD$4</f>
        <v>1</v>
      </c>
      <c r="C4">
        <f>Farm_results!L20/Farm_results!L20</f>
        <v>1</v>
      </c>
      <c r="D4">
        <f>Farm_results!M20/Farm_results!M20</f>
        <v>1</v>
      </c>
      <c r="E4">
        <f>Farm_EU_data!$AE$19/Farm_EU_data!$AE$5</f>
        <v>4.6097201767304865</v>
      </c>
      <c r="F4">
        <f>Farm_EU_data!$AE$20/Farm_EU_data!$AE$6</f>
        <v>9.4034090909090917</v>
      </c>
      <c r="G4">
        <f>Farm_EU_data!$AE$21/Farm_EU_data!$AE$7</f>
        <v>1.9168646080760097</v>
      </c>
      <c r="H4">
        <f>Farm_EU_data!$AE$22/Farm_EU_data!$AE$8</f>
        <v>3.1466165413533829</v>
      </c>
      <c r="I4">
        <f>Farm_EU_data!$AE$23/Farm_EU_data!$AE$9</f>
        <v>5.7987616099071211</v>
      </c>
      <c r="J4">
        <f>Farm_EU_data!$AE$24/Farm_EU_data!$AE$10</f>
        <v>4.0290748898678412</v>
      </c>
      <c r="K4">
        <f t="shared" ref="K4:K14" si="0">(SMALL(E4:J4,3)+SMALL(E4:J4,4))/2</f>
        <v>4.3193975332991634</v>
      </c>
    </row>
    <row r="5" spans="1:11" x14ac:dyDescent="0.2">
      <c r="A5" t="s">
        <v>43</v>
      </c>
      <c r="B5">
        <f>Processing_index!$AD$5/Processing_index!$AD$4</f>
        <v>1.0063356585902026</v>
      </c>
      <c r="C5">
        <f>Farm_results!L21/Farm_results!L20</f>
        <v>2.6892488954344627</v>
      </c>
      <c r="D5">
        <f>Farm_results!M21/Farm_results!M20</f>
        <v>3.3006886967658264</v>
      </c>
      <c r="E5">
        <f>Farm_EU_data!$I$19/Farm_EU_data!$I$5</f>
        <v>2.3033953997809418</v>
      </c>
      <c r="F5">
        <f>Farm_EU_data!$I$20/Farm_EU_data!$I$6</f>
        <v>3.0581039755351682</v>
      </c>
      <c r="G5">
        <f>Farm_EU_data!$I$21/Farm_EU_data!$I$7</f>
        <v>1.6116883116883116</v>
      </c>
      <c r="H5">
        <f>Farm_EU_data!$I$22/Farm_EU_data!$I$8</f>
        <v>2.4615384615384612</v>
      </c>
      <c r="I5">
        <f>Farm_EU_data!$I$23/Farm_EU_data!$I$9</f>
        <v>2.4217557251908395</v>
      </c>
      <c r="J5">
        <f>Farm_EU_data!$I$24/Farm_EU_data!$I$10</f>
        <v>1.7536385287112992</v>
      </c>
      <c r="K5">
        <f t="shared" si="0"/>
        <v>2.3625755624858904</v>
      </c>
    </row>
    <row r="6" spans="1:11" x14ac:dyDescent="0.2">
      <c r="A6" t="s">
        <v>59</v>
      </c>
      <c r="B6">
        <f>Processing_index!$AD$6/Processing_index!$AD$4</f>
        <v>0.96327432687024162</v>
      </c>
      <c r="C6">
        <f>Farm_results!L22/Farm_results!L20</f>
        <v>0.19734904270986747</v>
      </c>
      <c r="D6">
        <f>Farm_results!M22/Farm_results!M20</f>
        <v>1.45636001155464</v>
      </c>
      <c r="E6">
        <f>Farm_EU_data!$Y$19/Farm_EU_data!$Y$5</f>
        <v>5.3805970149253728</v>
      </c>
      <c r="F6">
        <f>Farm_EU_data!$Y$20/Farm_EU_data!$Y$6</f>
        <v>18</v>
      </c>
      <c r="G6">
        <f>Farm_EU_data!$Y$21/Farm_EU_data!$Y$7</f>
        <v>1.8515007898894156</v>
      </c>
      <c r="H6">
        <f>Farm_EU_data!$Y$22/Farm_EU_data!$Y$8</f>
        <v>1.9181884587289995</v>
      </c>
      <c r="I6">
        <f>Farm_EU_data!$Y$23/Farm_EU_data!$Y$9</f>
        <v>5.7872340425531918</v>
      </c>
      <c r="J6">
        <f>Farm_EU_data!$Y$24/Farm_EU_data!$Y$10</f>
        <v>3.7644191714053616</v>
      </c>
      <c r="K6">
        <f t="shared" si="0"/>
        <v>4.572508093165367</v>
      </c>
    </row>
    <row r="7" spans="1:11" x14ac:dyDescent="0.2">
      <c r="A7" t="s">
        <v>51</v>
      </c>
      <c r="B7">
        <f>Processing_index!$AD$7/Processing_index!$AD$4</f>
        <v>0.76447472893335011</v>
      </c>
      <c r="C7">
        <f>Farm_results!L23/Farm_results!L20</f>
        <v>0.38586156111929309</v>
      </c>
      <c r="D7">
        <f>Farm_results!M23/Farm_results!M20</f>
        <v>0.72994889185733625</v>
      </c>
      <c r="E7">
        <f>Farm_EU_data!$Q$19/Farm_EU_data!$Q$5</f>
        <v>5.6603053435114505</v>
      </c>
      <c r="F7">
        <f>Farm_EU_data!$Q$20/Farm_EU_data!$Q$6</f>
        <v>4.4653465346534649</v>
      </c>
      <c r="G7">
        <f>Farm_EU_data!$Q$21/Farm_EU_data!$Q$7</f>
        <v>4.1766467065868262</v>
      </c>
      <c r="H7">
        <f>Farm_EU_data!$Q$22/Farm_EU_data!$Q$8</f>
        <v>4.6310344827586212</v>
      </c>
      <c r="I7">
        <f>Farm_EU_data!$Q$23/Farm_EU_data!$Q$9</f>
        <v>4.4304511278195484</v>
      </c>
      <c r="J7">
        <f>Farm_EU_data!$Q$24/Farm_EU_data!$Q$10</f>
        <v>4.6654740608228975</v>
      </c>
      <c r="K7">
        <f t="shared" si="0"/>
        <v>4.5481905087060426</v>
      </c>
    </row>
    <row r="8" spans="1:11" x14ac:dyDescent="0.2">
      <c r="A8" t="s">
        <v>61</v>
      </c>
      <c r="B8">
        <f>Processing_index!$AD$8/Processing_index!$AD$4</f>
        <v>0.64607664964830902</v>
      </c>
      <c r="C8">
        <f>Farm_results!L24/Farm_results!L20</f>
        <v>0.48011782032400591</v>
      </c>
      <c r="D8">
        <f>Farm_results!M24/Farm_results!M20</f>
        <v>0.23029720122189656</v>
      </c>
      <c r="E8">
        <f>Farm_EU_data!$AA$19/Farm_EU_data!$AA$5</f>
        <v>5.2822085889570554</v>
      </c>
      <c r="F8">
        <f>Farm_EU_data!$AA$20/Farm_EU_data!$AA$6</f>
        <v>9.1428571428571423</v>
      </c>
      <c r="G8">
        <f>Farm_EU_data!$AA$21/Farm_EU_data!$AA$7</f>
        <v>10.933333333333334</v>
      </c>
      <c r="H8">
        <f>Farm_EU_data!$AA$22/Farm_EU_data!$AA$8</f>
        <v>12.692307692307692</v>
      </c>
      <c r="I8">
        <f>Farm_EU_data!$AA$23/Farm_EU_data!$AA$9</f>
        <v>13.810810810810812</v>
      </c>
      <c r="J8">
        <f>Farm_EU_data!$AA$24/Farm_EU_data!$AA$10</f>
        <v>21.3</v>
      </c>
      <c r="K8">
        <f t="shared" si="0"/>
        <v>11.812820512820512</v>
      </c>
    </row>
    <row r="9" spans="1:11" x14ac:dyDescent="0.2">
      <c r="A9" t="s">
        <v>42</v>
      </c>
      <c r="B9">
        <f>Processing_index!$AD$9/Processing_index!$AD$4</f>
        <v>1.1514666781056726</v>
      </c>
      <c r="C9">
        <f>Farm_results!L25/Farm_results!L20</f>
        <v>0.50220913107511045</v>
      </c>
      <c r="D9">
        <f>Farm_results!M25/Farm_results!M20</f>
        <v>0.47098578657553281</v>
      </c>
      <c r="E9">
        <f>Farm_EU_data!$H$19/Farm_EU_data!$H$5</f>
        <v>4.2844574780058648</v>
      </c>
      <c r="F9">
        <f>Farm_EU_data!$H$20/Farm_EU_data!$H$6</f>
        <v>4.3255813953488378</v>
      </c>
      <c r="G9">
        <f>Farm_EU_data!$H$21/Farm_EU_data!$H$7</f>
        <v>4.1973684210526319</v>
      </c>
      <c r="H9">
        <f>Farm_EU_data!$H$22/Farm_EU_data!$H$8</f>
        <v>4.6369047619047619</v>
      </c>
      <c r="I9">
        <f>Farm_EU_data!$H$23/Farm_EU_data!$H$9</f>
        <v>4.7005649717514126</v>
      </c>
      <c r="J9">
        <f>Farm_EU_data!$H$24/Farm_EU_data!$H$10</f>
        <v>4.3582089552238799</v>
      </c>
      <c r="K9">
        <f t="shared" si="0"/>
        <v>4.3418951752863588</v>
      </c>
    </row>
    <row r="10" spans="1:11" x14ac:dyDescent="0.2">
      <c r="A10" t="s">
        <v>64</v>
      </c>
      <c r="B10">
        <f>Processing_index!$AD$10/Processing_index!$AD$4</f>
        <v>0.79864339314595501</v>
      </c>
      <c r="C10">
        <f>Farm_results!L26/Farm_results!L20</f>
        <v>0.19293078055964655</v>
      </c>
      <c r="D10">
        <f>Farm_results!M26/Farm_results!M20</f>
        <v>0.12421191530405645</v>
      </c>
      <c r="E10">
        <f>Farm_EU_data!$AD$19/Farm_EU_data!$AD$5</f>
        <v>5.66412213740458</v>
      </c>
      <c r="F10">
        <f>Farm_EU_data!$AD$20/Farm_EU_data!$AD$6</f>
        <v>5.9830508474576272</v>
      </c>
      <c r="G10">
        <f>Farm_EU_data!$AD$21/Farm_EU_data!$AD$7</f>
        <v>6.5555555555555554</v>
      </c>
      <c r="H10">
        <f>Farm_EU_data!$AD$22/Farm_EU_data!$AD$8</f>
        <v>6.0704225352112671</v>
      </c>
      <c r="I10">
        <f>Farm_EU_data!$AD$23/Farm_EU_data!$AD$9</f>
        <v>5.7317073170731714</v>
      </c>
      <c r="J10">
        <f>Farm_EU_data!$AD$24/Farm_EU_data!$AD$10</f>
        <v>4.8307692307692305</v>
      </c>
      <c r="K10">
        <f t="shared" si="0"/>
        <v>5.8573790822653997</v>
      </c>
    </row>
    <row r="11" spans="1:11" x14ac:dyDescent="0.2">
      <c r="A11" t="s">
        <v>54</v>
      </c>
      <c r="B11">
        <f>Processing_index!$AD$11/Processing_index!$AD$4</f>
        <v>1.2976342823406777</v>
      </c>
      <c r="C11">
        <f>Farm_results!L27/Farm_results!L20</f>
        <v>6.774668630338733E-2</v>
      </c>
      <c r="D11">
        <f>Farm_results!M27/Farm_results!M20</f>
        <v>0.13916814248835777</v>
      </c>
      <c r="E11">
        <f>Farm_EU_data!$T$19/Farm_EU_data!$T$5</f>
        <v>11.086956521739129</v>
      </c>
      <c r="F11">
        <f>Farm_EU_data!$T$20/Farm_EU_data!$T$6</f>
        <v>10.199999999999999</v>
      </c>
      <c r="G11">
        <f>Farm_EU_data!$T$21/Farm_EU_data!$T$7</f>
        <v>9.395348837209303</v>
      </c>
      <c r="H11">
        <f>Farm_EU_data!$T$22/Farm_EU_data!$T$8</f>
        <v>10.057471264367816</v>
      </c>
      <c r="I11">
        <f>Farm_EU_data!$T$23/Farm_EU_data!$T$9</f>
        <v>9.4390243902439028</v>
      </c>
      <c r="J11">
        <f>Farm_EU_data!$T$24/Farm_EU_data!$T$10</f>
        <v>7.1729957805907167</v>
      </c>
      <c r="K11">
        <f t="shared" si="0"/>
        <v>9.7482478273058604</v>
      </c>
    </row>
    <row r="12" spans="1:11" x14ac:dyDescent="0.2">
      <c r="A12" t="s">
        <v>56</v>
      </c>
      <c r="B12">
        <f>Processing_index!$AD$12/Processing_index!$AD$4</f>
        <v>0.97406611736659132</v>
      </c>
      <c r="C12">
        <f>Farm_results!L28/Farm_results!L20</f>
        <v>0.68924889543446244</v>
      </c>
      <c r="D12">
        <f>Farm_results!M28/Farm_results!M20</f>
        <v>0.44952327929313896</v>
      </c>
      <c r="E12">
        <f>Farm_EU_data!$V$19/Farm_EU_data!$V$5</f>
        <v>8.7222222222222232</v>
      </c>
      <c r="F12">
        <f>Farm_EU_data!$V$20/Farm_EU_data!$V$6</f>
        <v>7.8455882352941169</v>
      </c>
      <c r="G12">
        <f>Farm_EU_data!$V$21/Farm_EU_data!$V$7</f>
        <v>6.8417266187050361</v>
      </c>
      <c r="H12">
        <f>Farm_EU_data!$V$22/Farm_EU_data!$V$8</f>
        <v>7.2450980392156854</v>
      </c>
      <c r="I12">
        <f>Farm_EU_data!$V$23/Farm_EU_data!$V$9</f>
        <v>7.7798165137614674</v>
      </c>
      <c r="J12">
        <f>Farm_EU_data!$V$24/Farm_EU_data!$V$10</f>
        <v>5.2157221206581355</v>
      </c>
      <c r="K12">
        <f t="shared" si="0"/>
        <v>7.5124572764885764</v>
      </c>
    </row>
    <row r="13" spans="1:11" x14ac:dyDescent="0.2">
      <c r="A13" t="s">
        <v>45</v>
      </c>
      <c r="B13">
        <f>Processing_index!$AD$13/Processing_index!$AD$4</f>
        <v>1.1060868939885304</v>
      </c>
      <c r="C13">
        <f>Farm_results!L29/Farm_results!L20</f>
        <v>1.1826215022091309</v>
      </c>
      <c r="D13">
        <f>Farm_results!M29/Farm_results!M20</f>
        <v>1.4810461996422961</v>
      </c>
      <c r="E13">
        <f>Farm_EU_data!$K$19/Farm_EU_data!$K$5</f>
        <v>4.3075965130759659</v>
      </c>
      <c r="F13">
        <f>Farm_EU_data!$K$20/Farm_EU_data!$K$6</f>
        <v>3.625</v>
      </c>
      <c r="G13">
        <f>Farm_EU_data!$K$21/Farm_EU_data!$K$7</f>
        <v>2.8336842105263158</v>
      </c>
      <c r="H13">
        <f>Farm_EU_data!$K$22/Farm_EU_data!$K$8</f>
        <v>3.3552083333333336</v>
      </c>
      <c r="I13">
        <f>Farm_EU_data!$K$23/Farm_EU_data!$K$9</f>
        <v>3.5085836909871246</v>
      </c>
      <c r="J13">
        <f>Farm_EU_data!$K$24/Farm_EU_data!$K$10</f>
        <v>2.4564705882352942</v>
      </c>
      <c r="K13">
        <f t="shared" si="0"/>
        <v>3.4318960121602293</v>
      </c>
    </row>
    <row r="14" spans="1:11" x14ac:dyDescent="0.2">
      <c r="A14" t="s">
        <v>40</v>
      </c>
      <c r="B14">
        <f>Processing_index!$AD$14/Processing_index!$AD$4</f>
        <v>0.43807505719796547</v>
      </c>
      <c r="C14">
        <f>Farm_results!L30/Farm_results!L20</f>
        <v>8.2474226804123724E-2</v>
      </c>
      <c r="D14">
        <f>Farm_results!M30/Farm_results!M20</f>
        <v>0.17775718446568192</v>
      </c>
      <c r="E14">
        <f>Farm_EU_data!$F$19/Farm_EU_data!$F$5</f>
        <v>9.1964285714285712</v>
      </c>
      <c r="F14">
        <f>Farm_EU_data!$F$20/Farm_EU_data!$F$6</f>
        <v>8.7307692307692299</v>
      </c>
      <c r="G14">
        <f>Farm_EU_data!$F$21/Farm_EU_data!$F$7</f>
        <v>5.9655172413793105</v>
      </c>
      <c r="H14">
        <f>Farm_EU_data!$F$22/Farm_EU_data!$F$8</f>
        <v>8</v>
      </c>
      <c r="I14">
        <f>Farm_EU_data!$F$23/Farm_EU_data!$F$9</f>
        <v>4.9534883720930232</v>
      </c>
      <c r="J14">
        <f>Farm_EU_data!$F$24/Farm_EU_data!$F$10</f>
        <v>3.9433962264150937</v>
      </c>
      <c r="K14">
        <f t="shared" si="0"/>
        <v>6.9827586206896548</v>
      </c>
    </row>
    <row r="15" spans="1:11" x14ac:dyDescent="0.2">
      <c r="A15" t="s">
        <v>130</v>
      </c>
      <c r="B15">
        <f>Processing_index!$AD$15/Processing_index!$AD$4</f>
        <v>0.47632036790523091</v>
      </c>
      <c r="C15">
        <f>Farm_results!L31/Farm_results!L20</f>
        <v>0.58176735264986246</v>
      </c>
      <c r="D15">
        <f>Farm_results!M31/Farm_results!M20</f>
        <v>0.40763183272711706</v>
      </c>
      <c r="K15" t="s">
        <v>297</v>
      </c>
    </row>
    <row r="17" spans="1:2" x14ac:dyDescent="0.2">
      <c r="A17" s="3" t="s">
        <v>298</v>
      </c>
      <c r="B17">
        <f>SMALL(B6:B14,5)</f>
        <v>0.96327432687024162</v>
      </c>
    </row>
    <row r="18" spans="1:2" x14ac:dyDescent="0.2">
      <c r="A18" s="3" t="s">
        <v>299</v>
      </c>
      <c r="B18">
        <f>SMALL(C6:C14,5)</f>
        <v>0.38586156111929309</v>
      </c>
    </row>
    <row r="19" spans="1:2" x14ac:dyDescent="0.2">
      <c r="A19" s="3" t="s">
        <v>300</v>
      </c>
      <c r="B19">
        <f>SMALL(D6:D14,5)</f>
        <v>0.44952327929313896</v>
      </c>
    </row>
    <row r="20" spans="1:2" x14ac:dyDescent="0.2">
      <c r="A20" s="3" t="s">
        <v>301</v>
      </c>
      <c r="B20">
        <f>SMALL(K6:K14,5)</f>
        <v>5.8573790822653997</v>
      </c>
    </row>
    <row r="21" spans="1:2" x14ac:dyDescent="0.2">
      <c r="A21" s="3" t="s">
        <v>302</v>
      </c>
      <c r="B21">
        <f>COUNTIF(K6:K14,"&gt;"&amp;K4)</f>
        <v>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57"/>
  <sheetViews>
    <sheetView workbookViewId="0"/>
  </sheetViews>
  <sheetFormatPr baseColWidth="10" defaultColWidth="8.83203125" defaultRowHeight="15" x14ac:dyDescent="0.2"/>
  <cols>
    <col min="1" max="1" width="42" customWidth="1"/>
    <col min="2" max="2" width="30" customWidth="1"/>
    <col min="3" max="17" width="12" customWidth="1"/>
  </cols>
  <sheetData>
    <row r="1" spans="1:3" ht="17" x14ac:dyDescent="0.2">
      <c r="A1" s="1" t="s">
        <v>303</v>
      </c>
    </row>
    <row r="3" spans="1:3" x14ac:dyDescent="0.2">
      <c r="A3" s="3" t="s">
        <v>304</v>
      </c>
    </row>
    <row r="4" spans="1:3" ht="16" x14ac:dyDescent="0.2">
      <c r="A4" s="6" t="s">
        <v>35</v>
      </c>
      <c r="B4" s="6" t="s">
        <v>305</v>
      </c>
      <c r="C4" s="6" t="s">
        <v>306</v>
      </c>
    </row>
    <row r="5" spans="1:3" x14ac:dyDescent="0.2">
      <c r="A5" t="s">
        <v>307</v>
      </c>
      <c r="B5" t="s">
        <v>71</v>
      </c>
      <c r="C5" t="s">
        <v>142</v>
      </c>
    </row>
    <row r="6" spans="1:3" x14ac:dyDescent="0.2">
      <c r="A6" t="s">
        <v>308</v>
      </c>
      <c r="B6" t="s">
        <v>73</v>
      </c>
      <c r="C6" t="s">
        <v>174</v>
      </c>
    </row>
    <row r="7" spans="1:3" x14ac:dyDescent="0.2">
      <c r="A7" t="s">
        <v>309</v>
      </c>
      <c r="B7" t="s">
        <v>77</v>
      </c>
      <c r="C7" t="s">
        <v>174</v>
      </c>
    </row>
    <row r="8" spans="1:3" x14ac:dyDescent="0.2">
      <c r="A8" t="s">
        <v>310</v>
      </c>
      <c r="B8" t="s">
        <v>79</v>
      </c>
      <c r="C8" t="s">
        <v>174</v>
      </c>
    </row>
    <row r="9" spans="1:3" x14ac:dyDescent="0.2">
      <c r="A9" t="s">
        <v>311</v>
      </c>
      <c r="B9" t="s">
        <v>81</v>
      </c>
      <c r="C9" t="s">
        <v>174</v>
      </c>
    </row>
    <row r="10" spans="1:3" x14ac:dyDescent="0.2">
      <c r="A10" t="s">
        <v>312</v>
      </c>
      <c r="B10" t="s">
        <v>83</v>
      </c>
      <c r="C10" t="s">
        <v>174</v>
      </c>
    </row>
    <row r="11" spans="1:3" x14ac:dyDescent="0.2">
      <c r="A11" t="s">
        <v>313</v>
      </c>
      <c r="B11" t="s">
        <v>86</v>
      </c>
      <c r="C11" t="s">
        <v>174</v>
      </c>
    </row>
    <row r="12" spans="1:3" x14ac:dyDescent="0.2">
      <c r="A12" t="s">
        <v>314</v>
      </c>
      <c r="B12" t="s">
        <v>89</v>
      </c>
      <c r="C12" t="s">
        <v>174</v>
      </c>
    </row>
    <row r="13" spans="1:3" x14ac:dyDescent="0.2">
      <c r="A13" t="s">
        <v>315</v>
      </c>
      <c r="B13" t="s">
        <v>91</v>
      </c>
      <c r="C13" t="s">
        <v>174</v>
      </c>
    </row>
    <row r="14" spans="1:3" x14ac:dyDescent="0.2">
      <c r="A14" t="s">
        <v>316</v>
      </c>
      <c r="B14" t="s">
        <v>93</v>
      </c>
      <c r="C14" t="s">
        <v>174</v>
      </c>
    </row>
    <row r="17" spans="1:8" x14ac:dyDescent="0.2">
      <c r="A17" s="3" t="s">
        <v>317</v>
      </c>
    </row>
    <row r="18" spans="1:8" ht="32" x14ac:dyDescent="0.2">
      <c r="A18" s="6" t="s">
        <v>318</v>
      </c>
      <c r="B18" s="6" t="s">
        <v>274</v>
      </c>
      <c r="C18" s="6" t="s">
        <v>136</v>
      </c>
      <c r="D18" s="6" t="s">
        <v>137</v>
      </c>
      <c r="E18" s="6" t="s">
        <v>236</v>
      </c>
      <c r="F18" s="6" t="s">
        <v>319</v>
      </c>
      <c r="G18" s="6" t="s">
        <v>320</v>
      </c>
      <c r="H18" s="6" t="s">
        <v>233</v>
      </c>
    </row>
    <row r="19" spans="1:8" x14ac:dyDescent="0.2">
      <c r="A19" t="s">
        <v>142</v>
      </c>
      <c r="B19" t="s">
        <v>141</v>
      </c>
      <c r="C19">
        <f>Processing_data!$E$4</f>
        <v>2025</v>
      </c>
      <c r="D19">
        <f>Processing_data!$F$4</f>
        <v>2025</v>
      </c>
      <c r="E19" s="7">
        <f>Processing_data!$AH$4</f>
        <v>45.06</v>
      </c>
      <c r="F19" s="7">
        <f>Processing_data!$AJ$4</f>
        <v>66.42</v>
      </c>
      <c r="G19" t="str">
        <f>Processing_data!$AK$4</f>
        <v>ES</v>
      </c>
      <c r="H19" s="7">
        <f>Processing_data!$AI$4</f>
        <v>20.399999999999999</v>
      </c>
    </row>
    <row r="20" spans="1:8" x14ac:dyDescent="0.2">
      <c r="A20" t="s">
        <v>142</v>
      </c>
      <c r="B20" t="s">
        <v>321</v>
      </c>
      <c r="C20">
        <f>Processing_data!$E$5</f>
        <v>2021</v>
      </c>
      <c r="D20">
        <f>Processing_data!$F$5</f>
        <v>2022</v>
      </c>
      <c r="E20" s="7">
        <f>Processing_data!$AH$5</f>
        <v>9.68</v>
      </c>
      <c r="F20" s="7">
        <f>Processing_data!$AJ$5</f>
        <v>21.2</v>
      </c>
      <c r="G20" t="str">
        <f>Processing_data!$AK$5</f>
        <v>IT</v>
      </c>
      <c r="H20" s="7">
        <f>Processing_data!$AI$5</f>
        <v>2.2000000000000002</v>
      </c>
    </row>
    <row r="21" spans="1:8" x14ac:dyDescent="0.2">
      <c r="A21" t="s">
        <v>142</v>
      </c>
      <c r="B21" t="s">
        <v>322</v>
      </c>
      <c r="C21">
        <f>Processing_data!$E$6</f>
        <v>2024</v>
      </c>
      <c r="D21">
        <f>Processing_data!$F$6</f>
        <v>2023</v>
      </c>
      <c r="E21" s="7">
        <f>Processing_data!$AH$6</f>
        <v>26.68</v>
      </c>
      <c r="F21" s="7">
        <f>Processing_data!$AJ$6</f>
        <v>65.849999999999994</v>
      </c>
      <c r="G21" t="str">
        <f>Processing_data!$AK$6</f>
        <v>IE</v>
      </c>
      <c r="H21" s="7">
        <f>Processing_data!$AI$6</f>
        <v>7.3</v>
      </c>
    </row>
    <row r="22" spans="1:8" x14ac:dyDescent="0.2">
      <c r="A22" t="s">
        <v>156</v>
      </c>
      <c r="B22" t="s">
        <v>323</v>
      </c>
      <c r="C22">
        <f>Processing_data!$E$7</f>
        <v>2024</v>
      </c>
      <c r="D22">
        <f>Processing_data!$F$7</f>
        <v>2025</v>
      </c>
      <c r="E22" s="7">
        <f>Processing_data!$AH$7</f>
        <v>7.1</v>
      </c>
      <c r="F22" s="7">
        <f>Processing_data!$AJ$7</f>
        <v>18.079999999999998</v>
      </c>
      <c r="G22" t="str">
        <f>Processing_data!$AK$7</f>
        <v>IE</v>
      </c>
      <c r="H22" s="7">
        <f>Processing_data!$AI$7</f>
        <v>5</v>
      </c>
    </row>
    <row r="23" spans="1:8" x14ac:dyDescent="0.2">
      <c r="A23" t="s">
        <v>156</v>
      </c>
      <c r="B23" t="s">
        <v>324</v>
      </c>
      <c r="C23">
        <f>Processing_data!$E$8</f>
        <v>2024</v>
      </c>
      <c r="D23">
        <f>Processing_data!$F$8</f>
        <v>2025</v>
      </c>
      <c r="E23" s="7">
        <f>Processing_data!$AH$8</f>
        <v>14.36</v>
      </c>
      <c r="F23" s="7">
        <f>Processing_data!$AJ$8</f>
        <v>33.89</v>
      </c>
      <c r="G23" t="str">
        <f>Processing_data!$AK$8</f>
        <v>IE</v>
      </c>
      <c r="H23" s="7">
        <f>Processing_data!$AI$8</f>
        <v>6.5</v>
      </c>
    </row>
    <row r="24" spans="1:8" x14ac:dyDescent="0.2">
      <c r="A24" t="s">
        <v>163</v>
      </c>
      <c r="B24" t="s">
        <v>325</v>
      </c>
      <c r="C24">
        <f>Processing_data!$E$9</f>
        <v>2023</v>
      </c>
      <c r="D24">
        <f>Processing_data!$F$9</f>
        <v>2025</v>
      </c>
      <c r="E24" s="7">
        <f>Processing_data!$AH$9</f>
        <v>23.16</v>
      </c>
      <c r="F24" s="7">
        <f>Processing_data!$AJ$9</f>
        <v>52.82</v>
      </c>
      <c r="G24" t="str">
        <f>Processing_data!$AK$9</f>
        <v>SI</v>
      </c>
      <c r="H24" s="7">
        <f>Processing_data!$AI$9</f>
        <v>31.6</v>
      </c>
    </row>
    <row r="25" spans="1:8" x14ac:dyDescent="0.2">
      <c r="A25" t="s">
        <v>163</v>
      </c>
      <c r="B25" t="s">
        <v>326</v>
      </c>
      <c r="C25">
        <f>Processing_data!$E$10</f>
        <v>2025</v>
      </c>
      <c r="D25">
        <f>Processing_data!$F$10</f>
        <v>2025</v>
      </c>
      <c r="E25" s="7">
        <f>Processing_data!$AH$10</f>
        <v>37.729999999999997</v>
      </c>
      <c r="F25" s="7">
        <f>Processing_data!$AJ$10</f>
        <v>66.58</v>
      </c>
      <c r="G25" t="str">
        <f>Processing_data!$AK$10</f>
        <v>LT</v>
      </c>
      <c r="H25" s="7">
        <f>Processing_data!$AI$10</f>
        <v>21.3</v>
      </c>
    </row>
    <row r="26" spans="1:8" x14ac:dyDescent="0.2">
      <c r="A26" t="s">
        <v>163</v>
      </c>
      <c r="B26" t="s">
        <v>327</v>
      </c>
      <c r="C26">
        <f>Processing_data!$E$11</f>
        <v>2021</v>
      </c>
      <c r="D26">
        <f>Processing_data!$F$11</f>
        <v>2022</v>
      </c>
      <c r="E26" s="7">
        <f>Processing_data!$AH$11</f>
        <v>29.43</v>
      </c>
      <c r="F26" s="7">
        <f>Processing_data!$AJ$11</f>
        <v>49.89</v>
      </c>
      <c r="G26" t="str">
        <f>Processing_data!$AK$11</f>
        <v>SE</v>
      </c>
      <c r="H26" s="7">
        <f>Processing_data!$AI$11</f>
        <v>9.4</v>
      </c>
    </row>
    <row r="27" spans="1:8" x14ac:dyDescent="0.2">
      <c r="A27" t="s">
        <v>174</v>
      </c>
      <c r="B27" t="s">
        <v>328</v>
      </c>
      <c r="C27">
        <f>Processing_data!$E$12</f>
        <v>2024</v>
      </c>
      <c r="D27">
        <f>Processing_data!$F$12</f>
        <v>2023</v>
      </c>
      <c r="E27" s="7">
        <f>Processing_data!$AH$12</f>
        <v>82.47</v>
      </c>
      <c r="F27" s="7">
        <f>Processing_data!$AJ$12</f>
        <v>95.81</v>
      </c>
      <c r="G27" t="str">
        <f>Processing_data!$AK$12</f>
        <v>SI</v>
      </c>
      <c r="H27" s="7">
        <f>Processing_data!$AI$12</f>
        <v>45.9</v>
      </c>
    </row>
    <row r="28" spans="1:8" x14ac:dyDescent="0.2">
      <c r="A28" t="s">
        <v>174</v>
      </c>
      <c r="B28" t="s">
        <v>329</v>
      </c>
      <c r="C28">
        <f>Processing_data!$E$13</f>
        <v>2025</v>
      </c>
      <c r="D28">
        <f>Processing_data!$F$13</f>
        <v>2025</v>
      </c>
      <c r="E28" s="7">
        <f>Processing_data!$AH$13</f>
        <v>40.880000000000003</v>
      </c>
      <c r="F28" s="7">
        <f>Processing_data!$AJ$13</f>
        <v>71.23</v>
      </c>
      <c r="G28" t="str">
        <f>Processing_data!$AK$13</f>
        <v>IE</v>
      </c>
      <c r="H28" s="7">
        <f>Processing_data!$AI$13</f>
        <v>16.899999999999999</v>
      </c>
    </row>
    <row r="29" spans="1:8" x14ac:dyDescent="0.2">
      <c r="A29" t="s">
        <v>183</v>
      </c>
      <c r="B29" t="s">
        <v>330</v>
      </c>
      <c r="C29">
        <f>Processing_data!$E$14</f>
        <v>2025</v>
      </c>
      <c r="D29">
        <f>Processing_data!$F$14</f>
        <v>2025</v>
      </c>
      <c r="E29" s="7">
        <f>Processing_data!$AH$14</f>
        <v>34.159999999999997</v>
      </c>
      <c r="F29" s="7">
        <f>Processing_data!$AJ$14</f>
        <v>62.2</v>
      </c>
      <c r="G29" t="str">
        <f>Processing_data!$AK$14</f>
        <v>NL</v>
      </c>
      <c r="H29" s="7">
        <f>Processing_data!$AI$14</f>
        <v>16.8</v>
      </c>
    </row>
    <row r="30" spans="1:8" x14ac:dyDescent="0.2">
      <c r="A30" t="s">
        <v>183</v>
      </c>
      <c r="B30" t="s">
        <v>331</v>
      </c>
      <c r="C30">
        <f>Processing_data!$E$15</f>
        <v>2025</v>
      </c>
      <c r="D30">
        <f>Processing_data!$F$15</f>
        <v>2025</v>
      </c>
      <c r="E30" s="7">
        <f>Processing_data!$AH$15</f>
        <v>71.83</v>
      </c>
      <c r="F30" s="7">
        <f>Processing_data!$AJ$15</f>
        <v>97.47</v>
      </c>
      <c r="G30" t="str">
        <f>Processing_data!$AK$15</f>
        <v>DK</v>
      </c>
      <c r="H30" s="7">
        <f>Processing_data!$AI$15</f>
        <v>43</v>
      </c>
    </row>
    <row r="31" spans="1:8" x14ac:dyDescent="0.2">
      <c r="A31" t="s">
        <v>183</v>
      </c>
      <c r="B31" t="s">
        <v>191</v>
      </c>
      <c r="C31">
        <f>Processing_data!$E$16</f>
        <v>2025</v>
      </c>
      <c r="D31">
        <f>Processing_data!$F$16</f>
        <v>2025</v>
      </c>
      <c r="E31" s="7">
        <f>Processing_data!$AH$16</f>
        <v>17.989999999999998</v>
      </c>
      <c r="F31" s="7">
        <f>Processing_data!$AJ$16</f>
        <v>31.25</v>
      </c>
      <c r="G31" t="str">
        <f>Processing_data!$AK$16</f>
        <v>NL</v>
      </c>
      <c r="H31" s="7">
        <f>Processing_data!$AI$16</f>
        <v>6.9</v>
      </c>
    </row>
    <row r="32" spans="1:8" x14ac:dyDescent="0.2">
      <c r="A32" t="s">
        <v>332</v>
      </c>
      <c r="B32" t="s">
        <v>333</v>
      </c>
      <c r="C32">
        <f>Processing_data!$E$17</f>
        <v>2023</v>
      </c>
      <c r="D32">
        <f>Processing_data!$F$17</f>
        <v>2025</v>
      </c>
      <c r="E32" s="7">
        <f>Processing_data!$AH$17</f>
        <v>41.5</v>
      </c>
      <c r="F32" s="7">
        <f>Processing_data!$AJ$17</f>
        <v>97.92</v>
      </c>
      <c r="G32" t="str">
        <f>Processing_data!$AK$17</f>
        <v>IT</v>
      </c>
      <c r="H32" s="7">
        <f>Processing_data!$AI$17</f>
        <v>37.799999999999997</v>
      </c>
    </row>
    <row r="33" spans="1:8" x14ac:dyDescent="0.2">
      <c r="A33" t="s">
        <v>332</v>
      </c>
      <c r="B33" t="s">
        <v>334</v>
      </c>
      <c r="C33">
        <f>Processing_data!$E$18</f>
        <v>2025</v>
      </c>
      <c r="D33">
        <f>Processing_data!$F$18</f>
        <v>2025</v>
      </c>
      <c r="E33" s="7">
        <f>Processing_data!$AH$18</f>
        <v>15.22</v>
      </c>
      <c r="F33" s="7">
        <f>Processing_data!$AJ$18</f>
        <v>34.799999999999997</v>
      </c>
      <c r="G33" t="str">
        <f>Processing_data!$AK$18</f>
        <v>NL</v>
      </c>
      <c r="H33" s="7">
        <f>Processing_data!$AI$18</f>
        <v>6.6</v>
      </c>
    </row>
    <row r="34" spans="1:8" x14ac:dyDescent="0.2">
      <c r="A34" t="s">
        <v>335</v>
      </c>
      <c r="B34" t="s">
        <v>336</v>
      </c>
      <c r="C34">
        <f>Processing_data!$E$19</f>
        <v>2025</v>
      </c>
      <c r="D34">
        <f>Processing_data!$F$19</f>
        <v>2025</v>
      </c>
      <c r="E34" s="7">
        <f>Processing_data!$AH$19</f>
        <v>12.47</v>
      </c>
      <c r="F34" s="7">
        <f>Processing_data!$AJ$19</f>
        <v>26.48</v>
      </c>
      <c r="G34" t="str">
        <f>Processing_data!$AK$19</f>
        <v>DK</v>
      </c>
      <c r="H34" s="7">
        <f>Processing_data!$AI$19</f>
        <v>5</v>
      </c>
    </row>
    <row r="35" spans="1:8" x14ac:dyDescent="0.2">
      <c r="A35" t="s">
        <v>335</v>
      </c>
      <c r="B35" t="s">
        <v>337</v>
      </c>
      <c r="C35">
        <f>Processing_data!$E$20</f>
        <v>2025</v>
      </c>
      <c r="D35">
        <f>Processing_data!$F$20</f>
        <v>2025</v>
      </c>
      <c r="E35" s="7">
        <f>Processing_data!$AH$20</f>
        <v>60.91</v>
      </c>
      <c r="F35" s="7">
        <f>Processing_data!$AJ$20</f>
        <v>96.43</v>
      </c>
      <c r="G35" t="str">
        <f>Processing_data!$AK$20</f>
        <v>FI</v>
      </c>
      <c r="H35" s="7">
        <f>Processing_data!$AI$20</f>
        <v>27.8</v>
      </c>
    </row>
    <row r="38" spans="1:8" x14ac:dyDescent="0.2">
      <c r="A38" s="3" t="s">
        <v>338</v>
      </c>
    </row>
    <row r="39" spans="1:8" ht="16" x14ac:dyDescent="0.2">
      <c r="A39" s="6" t="s">
        <v>125</v>
      </c>
      <c r="B39" s="6" t="s">
        <v>339</v>
      </c>
      <c r="C39" s="6" t="s">
        <v>340</v>
      </c>
      <c r="D39" s="6" t="s">
        <v>341</v>
      </c>
      <c r="E39" s="6" t="s">
        <v>342</v>
      </c>
      <c r="F39" s="6" t="s">
        <v>343</v>
      </c>
      <c r="G39" s="6" t="s">
        <v>344</v>
      </c>
    </row>
    <row r="40" spans="1:8" x14ac:dyDescent="0.2">
      <c r="A40" t="s">
        <v>236</v>
      </c>
      <c r="B40" s="8">
        <f>Farm_results!L20</f>
        <v>0.19388920616790403</v>
      </c>
      <c r="C40" s="8">
        <f>Farm_results!M20</f>
        <v>0.18794053538900332</v>
      </c>
      <c r="D40" s="8">
        <f>Farm_results!N20</f>
        <v>0.20826534035928326</v>
      </c>
      <c r="E40" s="8">
        <f>Farm_results!O20</f>
        <v>0.16253452917615341</v>
      </c>
      <c r="F40" s="8">
        <f>Farm_results!L38</f>
        <v>0.56785195936139332</v>
      </c>
      <c r="G40" s="8">
        <f>Farm_results!M38</f>
        <v>0.43790743953054562</v>
      </c>
    </row>
    <row r="41" spans="1:8" x14ac:dyDescent="0.2">
      <c r="A41" t="s">
        <v>111</v>
      </c>
      <c r="B41" s="8">
        <f>Farm_results!L21</f>
        <v>0.52141633352370076</v>
      </c>
      <c r="C41" s="8">
        <f>Farm_results!M21</f>
        <v>0.62033320082260102</v>
      </c>
      <c r="D41" s="8">
        <f>Farm_results!N21</f>
        <v>0.67408038671936621</v>
      </c>
      <c r="E41" s="8">
        <f>Farm_results!O21</f>
        <v>0.55314921845164455</v>
      </c>
      <c r="F41" s="8">
        <f>Farm_results!L39</f>
        <v>0.76306240928882441</v>
      </c>
      <c r="G41" s="8">
        <f>Farm_results!M39</f>
        <v>0.64922558066725444</v>
      </c>
    </row>
    <row r="42" spans="1:8" x14ac:dyDescent="0.2">
      <c r="A42" t="s">
        <v>112</v>
      </c>
      <c r="B42" s="8">
        <f>Farm_results!L22</f>
        <v>3.8263849229011992E-2</v>
      </c>
      <c r="C42" s="8">
        <f>Farm_results!M22</f>
        <v>0.27370908029071411</v>
      </c>
      <c r="D42" s="8">
        <f>Farm_results!N22</f>
        <v>0.41524550955841627</v>
      </c>
      <c r="E42" s="8">
        <f>Farm_results!O22</f>
        <v>9.6788543706086444E-2</v>
      </c>
      <c r="F42" s="8">
        <f>Farm_results!L40</f>
        <v>0.1308055152394775</v>
      </c>
      <c r="G42" s="8">
        <f>Farm_results!M40</f>
        <v>0.52781448821603849</v>
      </c>
    </row>
    <row r="43" spans="1:8" x14ac:dyDescent="0.2">
      <c r="A43" t="s">
        <v>113</v>
      </c>
      <c r="B43" s="8">
        <f>Farm_results!L23</f>
        <v>7.481439177612792E-2</v>
      </c>
      <c r="C43" s="8">
        <f>Farm_results!M23</f>
        <v>0.13718698554227746</v>
      </c>
      <c r="D43" s="8">
        <f>Farm_results!N23</f>
        <v>0.19383273842410248</v>
      </c>
      <c r="E43" s="8">
        <f>Farm_results!O23</f>
        <v>6.6379794439996143E-2</v>
      </c>
      <c r="F43" s="8">
        <f>Farm_results!L41</f>
        <v>0.26904934687953558</v>
      </c>
      <c r="G43" s="8">
        <f>Farm_results!M41</f>
        <v>0.42470551418146518</v>
      </c>
    </row>
    <row r="44" spans="1:8" x14ac:dyDescent="0.2">
      <c r="A44" t="s">
        <v>114</v>
      </c>
      <c r="B44" s="8">
        <f>Farm_results!L24</f>
        <v>9.3089663049685883E-2</v>
      </c>
      <c r="C44" s="8">
        <f>Farm_results!M24</f>
        <v>4.3282179296232272E-2</v>
      </c>
      <c r="D44" s="8">
        <f>Farm_results!N24</f>
        <v>2.1402008510195279E-2</v>
      </c>
      <c r="E44" s="8">
        <f>Farm_results!O24</f>
        <v>7.063239277877853E-2</v>
      </c>
      <c r="F44" s="8">
        <f>Farm_results!L42</f>
        <v>0.31240928882438318</v>
      </c>
      <c r="G44" s="8">
        <f>Farm_results!M42</f>
        <v>0.26950376051218883</v>
      </c>
    </row>
    <row r="45" spans="1:8" x14ac:dyDescent="0.2">
      <c r="A45" t="s">
        <v>115</v>
      </c>
      <c r="B45" s="8">
        <f>Farm_results!L25</f>
        <v>9.7372929754426032E-2</v>
      </c>
      <c r="C45" s="8">
        <f>Farm_results!M25</f>
        <v>8.8517320889616488E-2</v>
      </c>
      <c r="D45" s="8">
        <f>Farm_results!N25</f>
        <v>7.8022409736336562E-2</v>
      </c>
      <c r="E45" s="8">
        <f>Farm_results!O25</f>
        <v>0.1016359598312164</v>
      </c>
      <c r="F45" s="8">
        <f>Farm_results!L43</f>
        <v>0.26505805515239478</v>
      </c>
      <c r="G45" s="8">
        <f>Farm_results!M43</f>
        <v>0.23637143371141894</v>
      </c>
    </row>
    <row r="46" spans="1:8" x14ac:dyDescent="0.2">
      <c r="A46" t="s">
        <v>116</v>
      </c>
      <c r="B46" s="8">
        <f>Farm_results!L26</f>
        <v>3.740719588806396E-2</v>
      </c>
      <c r="C46" s="8">
        <f>Farm_results!M26</f>
        <v>2.3344453863937905E-2</v>
      </c>
      <c r="D46" s="8">
        <f>Farm_results!N26</f>
        <v>2.2448923415103107E-2</v>
      </c>
      <c r="E46" s="8">
        <f>Farm_results!O26</f>
        <v>2.4463866924981412E-2</v>
      </c>
      <c r="F46" s="8">
        <f>Farm_results!L44</f>
        <v>0.13461538461538461</v>
      </c>
      <c r="G46" s="8">
        <f>Farm_results!M44</f>
        <v>8.0005926575464958E-2</v>
      </c>
    </row>
    <row r="47" spans="1:8" x14ac:dyDescent="0.2">
      <c r="A47" t="s">
        <v>117</v>
      </c>
      <c r="B47" s="8">
        <f>Farm_results!L27</f>
        <v>1.3135351227869787E-2</v>
      </c>
      <c r="C47" s="8">
        <f>Farm_results!M27</f>
        <v>2.6155335208355057E-2</v>
      </c>
      <c r="D47" s="8">
        <f>Farm_results!N27</f>
        <v>3.1959057871371092E-2</v>
      </c>
      <c r="E47" s="8">
        <f>Farm_results!O27</f>
        <v>1.8900681879585008E-2</v>
      </c>
      <c r="F47" s="8">
        <f>Farm_results!L45</f>
        <v>9.2525399129172708E-2</v>
      </c>
      <c r="G47" s="8">
        <f>Farm_results!M45</f>
        <v>0.18792916838041099</v>
      </c>
    </row>
    <row r="48" spans="1:8" x14ac:dyDescent="0.2">
      <c r="A48" t="s">
        <v>118</v>
      </c>
      <c r="B48" s="8">
        <f>Farm_results!L28</f>
        <v>0.13363792118789261</v>
      </c>
      <c r="C48" s="8">
        <f>Farm_results!M28</f>
        <v>8.4483645780173006E-2</v>
      </c>
      <c r="D48" s="8">
        <f>Farm_results!N28</f>
        <v>0.12118609374587448</v>
      </c>
      <c r="E48" s="8">
        <f>Farm_results!O28</f>
        <v>3.8605585823046157E-2</v>
      </c>
      <c r="F48" s="8">
        <f>Farm_results!L46</f>
        <v>0.74056603773584906</v>
      </c>
      <c r="G48" s="8">
        <f>Farm_results!M46</f>
        <v>0.36073413625453088</v>
      </c>
    </row>
    <row r="49" spans="1:8" x14ac:dyDescent="0.2">
      <c r="A49" t="s">
        <v>119</v>
      </c>
      <c r="B49" s="8">
        <f>Farm_results!L29</f>
        <v>0.22929754426042256</v>
      </c>
      <c r="C49" s="8">
        <f>Farm_results!M29</f>
        <v>0.27834861569662184</v>
      </c>
      <c r="D49" s="8">
        <f>Farm_results!N29</f>
        <v>0.36788838089920811</v>
      </c>
      <c r="E49" s="8">
        <f>Farm_results!O29</f>
        <v>0.16642390919338912</v>
      </c>
      <c r="F49" s="8">
        <f>Farm_results!L47</f>
        <v>0.62753991291727151</v>
      </c>
      <c r="G49" s="8">
        <f>Farm_results!M47</f>
        <v>0.56791290582637133</v>
      </c>
    </row>
    <row r="50" spans="1:8" x14ac:dyDescent="0.2">
      <c r="A50" t="s">
        <v>120</v>
      </c>
      <c r="B50" s="8">
        <f>Farm_results!L30</f>
        <v>1.5990862364363222E-2</v>
      </c>
      <c r="C50" s="8">
        <f>Farm_results!M30</f>
        <v>3.3407780417722084E-2</v>
      </c>
      <c r="D50" s="8">
        <f>Farm_results!N30</f>
        <v>2.6026748143805168E-2</v>
      </c>
      <c r="E50" s="8">
        <f>Farm_results!O30</f>
        <v>4.2634070760118235E-2</v>
      </c>
      <c r="F50" s="8">
        <f>Farm_results!L48</f>
        <v>9.3432510885341089E-2</v>
      </c>
      <c r="G50" s="8">
        <f>Farm_results!M48</f>
        <v>0.15470900306664689</v>
      </c>
    </row>
    <row r="51" spans="1:8" x14ac:dyDescent="0.2">
      <c r="A51" t="s">
        <v>233</v>
      </c>
      <c r="B51" s="8">
        <f>Farm_results!L31</f>
        <v>0.11279841017968492</v>
      </c>
      <c r="C51" s="8">
        <f>Farm_results!M31</f>
        <v>7.6610544884335025E-2</v>
      </c>
      <c r="D51" s="8">
        <f>Farm_results!N31</f>
        <v>9.8300077805464958E-2</v>
      </c>
      <c r="E51" s="8">
        <f>Farm_results!O31</f>
        <v>4.9498628732922628E-2</v>
      </c>
      <c r="F51" s="8">
        <f>Farm_results!L49</f>
        <v>7.1665463071345539E-2</v>
      </c>
      <c r="G51" s="8">
        <f>Farm_results!M49</f>
        <v>9.9375947750951585E-2</v>
      </c>
    </row>
    <row r="54" spans="1:8" x14ac:dyDescent="0.2">
      <c r="A54" s="3" t="s">
        <v>345</v>
      </c>
    </row>
    <row r="55" spans="1:8" ht="32" x14ac:dyDescent="0.2">
      <c r="A55" s="6" t="s">
        <v>125</v>
      </c>
      <c r="B55" s="6" t="s">
        <v>142</v>
      </c>
      <c r="C55" s="6" t="s">
        <v>156</v>
      </c>
      <c r="D55" s="6" t="s">
        <v>163</v>
      </c>
      <c r="E55" s="6" t="s">
        <v>174</v>
      </c>
      <c r="F55" s="6" t="s">
        <v>183</v>
      </c>
      <c r="G55" s="6" t="s">
        <v>346</v>
      </c>
      <c r="H55" s="6" t="s">
        <v>210</v>
      </c>
    </row>
    <row r="56" spans="1:8" x14ac:dyDescent="0.2">
      <c r="A56" t="s">
        <v>236</v>
      </c>
      <c r="B56" s="8">
        <f>Processing_index!$S$4</f>
        <v>0.51339238027652934</v>
      </c>
      <c r="C56" s="8">
        <f>Processing_index!$T$4</f>
        <v>0.4082114636891348</v>
      </c>
      <c r="D56" s="8">
        <f>Processing_index!$U$4</f>
        <v>0.53168491473873092</v>
      </c>
      <c r="E56" s="8">
        <f>Processing_index!$V$4</f>
        <v>0.71734079231025216</v>
      </c>
      <c r="F56" s="8">
        <f>Processing_index!$W$4</f>
        <v>0.62060694747090672</v>
      </c>
      <c r="G56" s="9">
        <f>Processing_index!$Z$4</f>
        <v>0.55824729969711073</v>
      </c>
      <c r="H56" t="str">
        <f>Processing_index!$AB$4</f>
        <v>L1</v>
      </c>
    </row>
    <row r="57" spans="1:8" x14ac:dyDescent="0.2">
      <c r="A57" t="s">
        <v>111</v>
      </c>
      <c r="B57" s="8">
        <f>Processing_index!$S$5</f>
        <v>0.4802273934251276</v>
      </c>
      <c r="C57" s="8">
        <f>Processing_index!$T$5</f>
        <v>0.37323274871591328</v>
      </c>
      <c r="D57" s="8">
        <f>Processing_index!$U$5</f>
        <v>0.59271296132636042</v>
      </c>
      <c r="E57" s="8">
        <f>Processing_index!$V$5</f>
        <v>0.72525286406218681</v>
      </c>
      <c r="F57" s="8">
        <f>Processing_index!$W$5</f>
        <v>0.63948188465937417</v>
      </c>
      <c r="G57" s="9">
        <f>Processing_index!$Z$5</f>
        <v>0.56218157043779249</v>
      </c>
      <c r="H57" t="str">
        <f>Processing_index!$AB$5</f>
        <v>L1</v>
      </c>
    </row>
    <row r="58" spans="1:8" x14ac:dyDescent="0.2">
      <c r="A58" t="s">
        <v>117</v>
      </c>
      <c r="B58" s="8">
        <f>Processing_index!$S$11</f>
        <v>0.69463420725364811</v>
      </c>
      <c r="C58" s="8">
        <f>Processing_index!$T$11</f>
        <v>0.39037289108176643</v>
      </c>
      <c r="D58" s="8">
        <f>Processing_index!$U$11</f>
        <v>0.75697314098589785</v>
      </c>
      <c r="E58" s="8">
        <f>Processing_index!$V$11</f>
        <v>0.8994049098912259</v>
      </c>
      <c r="F58" s="8">
        <f>Processing_index!$W$11</f>
        <v>0.88061902134286851</v>
      </c>
      <c r="G58" s="9">
        <f>Processing_index!$Z$11</f>
        <v>0.72440083411108147</v>
      </c>
      <c r="H58" t="str">
        <f>Processing_index!$AB$11</f>
        <v>L1</v>
      </c>
    </row>
    <row r="59" spans="1:8" x14ac:dyDescent="0.2">
      <c r="A59" t="s">
        <v>115</v>
      </c>
      <c r="B59" s="8">
        <f>Processing_index!$S$9</f>
        <v>0.56305678509086798</v>
      </c>
      <c r="C59" s="8">
        <f>Processing_index!$T$9</f>
        <v>0.44228904942330344</v>
      </c>
      <c r="D59" s="8">
        <f>Processing_index!$U$9</f>
        <v>0.67117889658153684</v>
      </c>
      <c r="E59" s="8">
        <f>Processing_index!$V$9</f>
        <v>0.72541215670263681</v>
      </c>
      <c r="F59" s="8">
        <f>Processing_index!$W$9</f>
        <v>0.81207893092012473</v>
      </c>
      <c r="G59" s="9">
        <f>Processing_index!$Z$9</f>
        <v>0.64280316374369395</v>
      </c>
      <c r="H59" t="str">
        <f>Processing_index!$AB$9</f>
        <v>L1</v>
      </c>
    </row>
    <row r="60" spans="1:8" x14ac:dyDescent="0.2">
      <c r="A60" t="s">
        <v>119</v>
      </c>
      <c r="B60" s="8">
        <f>Processing_index!$S$13</f>
        <v>0.57839515879101233</v>
      </c>
      <c r="C60" s="8">
        <f>Processing_index!$T$13</f>
        <v>0.37003901547693341</v>
      </c>
      <c r="D60" s="8">
        <f>Processing_index!$U$13</f>
        <v>0.62584075418150009</v>
      </c>
      <c r="E60" s="8">
        <f>Processing_index!$V$13</f>
        <v>0.90826853207809577</v>
      </c>
      <c r="F60" s="8">
        <f>Processing_index!$W$13</f>
        <v>0.61094534851133464</v>
      </c>
      <c r="G60" s="9">
        <f>Processing_index!$Z$13</f>
        <v>0.61869776180777525</v>
      </c>
      <c r="H60" t="str">
        <f>Processing_index!$AB$13</f>
        <v>L1</v>
      </c>
    </row>
    <row r="61" spans="1:8" x14ac:dyDescent="0.2">
      <c r="A61" t="s">
        <v>118</v>
      </c>
      <c r="B61" s="8">
        <f>Processing_index!$S$12</f>
        <v>0.71082122228055045</v>
      </c>
      <c r="C61" s="8">
        <f>Processing_index!$T$12</f>
        <v>0.26817044733481826</v>
      </c>
      <c r="D61" s="8">
        <f>Processing_index!$U$12</f>
        <v>0.5611371100196817</v>
      </c>
      <c r="E61" s="8">
        <f>Processing_index!$V$12</f>
        <v>0.70371201818939955</v>
      </c>
      <c r="F61" s="8">
        <f>Processing_index!$W$12</f>
        <v>0.59637572515620552</v>
      </c>
      <c r="G61" s="9">
        <f>Processing_index!$Z$12</f>
        <v>0.56804330459613106</v>
      </c>
      <c r="H61" t="str">
        <f>Processing_index!$AB$12</f>
        <v>L1</v>
      </c>
    </row>
    <row r="62" spans="1:8" x14ac:dyDescent="0.2">
      <c r="A62" t="s">
        <v>112</v>
      </c>
      <c r="B62" s="8">
        <f>Processing_index!$S$6</f>
        <v>0.4430279712764193</v>
      </c>
      <c r="C62" s="8">
        <f>Processing_index!$T$6</f>
        <v>0.62846775225416951</v>
      </c>
      <c r="D62" s="8">
        <f>Processing_index!$U$6</f>
        <v>0.34867747763835871</v>
      </c>
      <c r="E62" s="8">
        <f>Processing_index!$V$6</f>
        <v>0.77338574140818706</v>
      </c>
      <c r="F62" s="8">
        <f>Processing_index!$W$6</f>
        <v>0.52377838567197033</v>
      </c>
      <c r="G62" s="9">
        <f>Processing_index!$Z$6</f>
        <v>0.54346746564982107</v>
      </c>
      <c r="H62" t="str">
        <f>Processing_index!$AB$6</f>
        <v>L2</v>
      </c>
    </row>
    <row r="63" spans="1:8" x14ac:dyDescent="0.2">
      <c r="A63" t="s">
        <v>116</v>
      </c>
      <c r="B63" s="8">
        <f>Processing_index!$S$10</f>
        <v>0.35071163000096101</v>
      </c>
      <c r="C63" s="8">
        <f>Processing_index!$T$10</f>
        <v>0.23499113477492253</v>
      </c>
      <c r="D63" s="8">
        <f>Processing_index!$U$10</f>
        <v>0.60004571329783574</v>
      </c>
      <c r="E63" s="8">
        <f>Processing_index!$V$10</f>
        <v>0.55285895708554278</v>
      </c>
      <c r="F63" s="8">
        <f>Processing_index!$W$10</f>
        <v>0.62284485524938493</v>
      </c>
      <c r="G63" s="9">
        <f>Processing_index!$Z$10</f>
        <v>0.47229045808172937</v>
      </c>
      <c r="H63" t="str">
        <f>Processing_index!$AB$10</f>
        <v>L1</v>
      </c>
    </row>
    <row r="64" spans="1:8" x14ac:dyDescent="0.2">
      <c r="A64" t="s">
        <v>113</v>
      </c>
      <c r="B64" s="8">
        <f>Processing_index!$S$7</f>
        <v>0.29262275048702674</v>
      </c>
      <c r="C64" s="8">
        <f>Processing_index!$T$7</f>
        <v>0.29587345968346318</v>
      </c>
      <c r="D64" s="8">
        <f>Processing_index!$U$7</f>
        <v>0.5332085800536488</v>
      </c>
      <c r="E64" s="8">
        <f>Processing_index!$V$7</f>
        <v>0.60598341167382808</v>
      </c>
      <c r="F64" s="8">
        <f>Processing_index!$W$7</f>
        <v>0.47884894822063589</v>
      </c>
      <c r="G64" s="9">
        <f>Processing_index!$Z$7</f>
        <v>0.44130743002372058</v>
      </c>
      <c r="H64" t="str">
        <f>Processing_index!$AB$7</f>
        <v>C</v>
      </c>
    </row>
    <row r="65" spans="1:8" x14ac:dyDescent="0.2">
      <c r="A65" t="s">
        <v>114</v>
      </c>
      <c r="B65" s="8">
        <f>Processing_index!$S$8</f>
        <v>0.44050748201577455</v>
      </c>
      <c r="C65" s="8">
        <f>Processing_index!$T$8</f>
        <v>0.24148819253858789</v>
      </c>
      <c r="D65" s="8">
        <f>Processing_index!$U$8</f>
        <v>0.28762351537264413</v>
      </c>
      <c r="E65" s="8">
        <f>Processing_index!$V$8</f>
        <v>0.55737050241713504</v>
      </c>
      <c r="F65" s="8">
        <f>Processing_index!$W$8</f>
        <v>0.37810403578378637</v>
      </c>
      <c r="G65" s="9">
        <f>Processing_index!$Z$8</f>
        <v>0.38101874562558558</v>
      </c>
      <c r="H65" t="str">
        <f>Processing_index!$AB$8</f>
        <v>L1</v>
      </c>
    </row>
    <row r="66" spans="1:8" x14ac:dyDescent="0.2">
      <c r="A66" t="s">
        <v>233</v>
      </c>
      <c r="B66" s="8">
        <f>Processing_index!$S$15</f>
        <v>0.17392266674442028</v>
      </c>
      <c r="C66" s="8">
        <f>Processing_index!$T$15</f>
        <v>0.23417283141449302</v>
      </c>
      <c r="D66" s="8">
        <f>Processing_index!$U$15</f>
        <v>0.36886287936698087</v>
      </c>
      <c r="E66" s="8">
        <f>Processing_index!$V$15</f>
        <v>0.35816637363864023</v>
      </c>
      <c r="F66" s="8">
        <f>Processing_index!$W$15</f>
        <v>0.31068594867071531</v>
      </c>
      <c r="G66" s="9">
        <f>Processing_index!$Z$15</f>
        <v>0.28916213996704992</v>
      </c>
      <c r="H66" t="str">
        <f>Processing_index!$AB$15</f>
        <v>C</v>
      </c>
    </row>
    <row r="67" spans="1:8" x14ac:dyDescent="0.2">
      <c r="A67" t="s">
        <v>120</v>
      </c>
      <c r="B67" s="8">
        <f>Processing_index!$S$14</f>
        <v>0.21832676937677528</v>
      </c>
      <c r="C67" s="8">
        <f>Processing_index!$T$14</f>
        <v>0.10718623435529315</v>
      </c>
      <c r="D67" s="8">
        <f>Processing_index!$U$14</f>
        <v>0.28034164118021382</v>
      </c>
      <c r="E67" s="8">
        <f>Processing_index!$V$14</f>
        <v>0.45739639864411208</v>
      </c>
      <c r="F67" s="8">
        <f>Processing_index!$W$14</f>
        <v>0.30622596278339304</v>
      </c>
      <c r="G67" s="9">
        <f>Processing_index!$Z$14</f>
        <v>0.27389540126795742</v>
      </c>
      <c r="H67" t="str">
        <f>Processing_index!$AB$14</f>
        <v>L1</v>
      </c>
    </row>
    <row r="70" spans="1:8" x14ac:dyDescent="0.2">
      <c r="A70" s="3" t="s">
        <v>347</v>
      </c>
    </row>
    <row r="71" spans="1:8" ht="16" x14ac:dyDescent="0.2">
      <c r="A71" s="6" t="s">
        <v>125</v>
      </c>
      <c r="B71" s="6" t="s">
        <v>346</v>
      </c>
      <c r="C71" s="6" t="s">
        <v>211</v>
      </c>
      <c r="D71" s="6" t="s">
        <v>212</v>
      </c>
      <c r="E71" s="6" t="s">
        <v>213</v>
      </c>
      <c r="F71" s="6" t="s">
        <v>194</v>
      </c>
      <c r="G71" s="6" t="s">
        <v>199</v>
      </c>
    </row>
    <row r="72" spans="1:8" x14ac:dyDescent="0.2">
      <c r="A72" t="s">
        <v>236</v>
      </c>
      <c r="B72" s="9">
        <f>Processing_index!$Z$4</f>
        <v>0.55824729969711073</v>
      </c>
      <c r="C72" s="9">
        <f>Processing_index!$AC$4</f>
        <v>1</v>
      </c>
      <c r="D72" s="9">
        <f>Processing_index!$AD$4</f>
        <v>0.55824729969711073</v>
      </c>
      <c r="E72" s="10">
        <f>Processing_index!$AE$4</f>
        <v>3</v>
      </c>
      <c r="F72" s="8">
        <f>Processing_index!$X$4</f>
        <v>0.43058584065810235</v>
      </c>
      <c r="G72" s="8">
        <f>Processing_index!$Y$4</f>
        <v>0.55128567581699917</v>
      </c>
    </row>
    <row r="73" spans="1:8" x14ac:dyDescent="0.2">
      <c r="A73" t="s">
        <v>111</v>
      </c>
      <c r="B73" s="9">
        <f>Processing_index!$Z$5</f>
        <v>0.56218157043779249</v>
      </c>
      <c r="C73" s="9">
        <f>Processing_index!$AC$5</f>
        <v>0.99929309948636535</v>
      </c>
      <c r="D73" s="9">
        <f>Processing_index!$AD$5</f>
        <v>0.56178416399689413</v>
      </c>
      <c r="E73" s="10">
        <f>Processing_index!$AE$5</f>
        <v>3</v>
      </c>
      <c r="F73" s="8">
        <f>Processing_index!$X$5</f>
        <v>0.29964538257831874</v>
      </c>
      <c r="G73" s="8">
        <f>Processing_index!$Y$5</f>
        <v>0.60950122547138275</v>
      </c>
    </row>
    <row r="74" spans="1:8" x14ac:dyDescent="0.2">
      <c r="A74" t="s">
        <v>117</v>
      </c>
      <c r="B74" s="9">
        <f>Processing_index!$Z$11</f>
        <v>0.72440083411108147</v>
      </c>
      <c r="C74" s="9">
        <f>Processing_index!$AC$11</f>
        <v>1</v>
      </c>
      <c r="D74" s="9">
        <f>Processing_index!$AD$11</f>
        <v>0.72440083411108147</v>
      </c>
      <c r="E74" s="10">
        <f>Processing_index!$AE$11</f>
        <v>4</v>
      </c>
      <c r="F74" s="8">
        <f>Processing_index!$X$11</f>
        <v>0.66585777270678392</v>
      </c>
      <c r="G74" s="8">
        <f>Processing_index!$Y$11</f>
        <v>0.7202997854211044</v>
      </c>
    </row>
    <row r="75" spans="1:8" x14ac:dyDescent="0.2">
      <c r="A75" t="s">
        <v>115</v>
      </c>
      <c r="B75" s="9">
        <f>Processing_index!$Z$9</f>
        <v>0.64280316374369395</v>
      </c>
      <c r="C75" s="9">
        <f>Processing_index!$AC$9</f>
        <v>1</v>
      </c>
      <c r="D75" s="9">
        <f>Processing_index!$AD$9</f>
        <v>0.64280316374369395</v>
      </c>
      <c r="E75" s="10">
        <f>Processing_index!$AE$9</f>
        <v>4</v>
      </c>
      <c r="F75" s="8">
        <f>Processing_index!$X$9</f>
        <v>0.37345827698895651</v>
      </c>
      <c r="G75" s="8">
        <f>Processing_index!$Y$9</f>
        <v>0.5465447675363968</v>
      </c>
    </row>
    <row r="76" spans="1:8" x14ac:dyDescent="0.2">
      <c r="A76" t="s">
        <v>119</v>
      </c>
      <c r="B76" s="9">
        <f>Processing_index!$Z$13</f>
        <v>0.61869776180777525</v>
      </c>
      <c r="C76" s="9">
        <f>Processing_index!$AC$13</f>
        <v>0.99801560619077334</v>
      </c>
      <c r="D76" s="9">
        <f>Processing_index!$AD$13</f>
        <v>0.61747002179946153</v>
      </c>
      <c r="E76" s="10">
        <f>Processing_index!$AE$13</f>
        <v>4</v>
      </c>
      <c r="F76" s="8">
        <f>Processing_index!$X$13</f>
        <v>0.66358674216813163</v>
      </c>
      <c r="G76" s="8">
        <f>Processing_index!$Y$13</f>
        <v>0.6808656851721252</v>
      </c>
    </row>
    <row r="77" spans="1:8" x14ac:dyDescent="0.2">
      <c r="A77" t="s">
        <v>118</v>
      </c>
      <c r="B77" s="9">
        <f>Processing_index!$Z$12</f>
        <v>0.56804330459613106</v>
      </c>
      <c r="C77" s="9">
        <f>Processing_index!$AC$12</f>
        <v>0.95726817893392735</v>
      </c>
      <c r="D77" s="9">
        <f>Processing_index!$AD$12</f>
        <v>0.54376977974634855</v>
      </c>
      <c r="E77" s="10">
        <f>Processing_index!$AE$12</f>
        <v>3</v>
      </c>
      <c r="F77" s="8">
        <f>Processing_index!$X$12</f>
        <v>0.45310316655397798</v>
      </c>
      <c r="G77" s="8">
        <f>Processing_index!$Y$12</f>
        <v>0.55491585869310822</v>
      </c>
    </row>
    <row r="78" spans="1:8" x14ac:dyDescent="0.2">
      <c r="A78" t="s">
        <v>112</v>
      </c>
      <c r="B78" s="9">
        <f>Processing_index!$Z$6</f>
        <v>0.54346746564982107</v>
      </c>
      <c r="C78" s="9">
        <f>Processing_index!$AC$6</f>
        <v>0.98947099105534353</v>
      </c>
      <c r="D78" s="9">
        <f>Processing_index!$AD$6</f>
        <v>0.53774529184286435</v>
      </c>
      <c r="E78" s="10">
        <f>Processing_index!$AE$6</f>
        <v>3</v>
      </c>
      <c r="F78" s="8">
        <f>Processing_index!$X$6</f>
        <v>0.22546660187063333</v>
      </c>
      <c r="G78" s="8">
        <f>Processing_index!$Y$6</f>
        <v>0.35240328598018755</v>
      </c>
    </row>
    <row r="79" spans="1:8" x14ac:dyDescent="0.2">
      <c r="A79" t="s">
        <v>116</v>
      </c>
      <c r="B79" s="9">
        <f>Processing_index!$Z$10</f>
        <v>0.47229045808172937</v>
      </c>
      <c r="C79" s="9">
        <f>Processing_index!$AC$10</f>
        <v>0.943996453909969</v>
      </c>
      <c r="D79" s="9">
        <f>Processing_index!$AD$10</f>
        <v>0.44584051764466737</v>
      </c>
      <c r="E79" s="10">
        <f>Processing_index!$AE$10</f>
        <v>3</v>
      </c>
      <c r="F79" s="8">
        <f>Processing_index!$X$10</f>
        <v>0.26695437514086096</v>
      </c>
      <c r="G79" s="8">
        <f>Processing_index!$Y$10</f>
        <v>0.47123032439353807</v>
      </c>
    </row>
    <row r="80" spans="1:8" x14ac:dyDescent="0.2">
      <c r="A80" t="s">
        <v>113</v>
      </c>
      <c r="B80" s="9">
        <f>Processing_index!$Z$7</f>
        <v>0.44130743002372058</v>
      </c>
      <c r="C80" s="9">
        <f>Processing_index!$AC$7</f>
        <v>0.96704910019481072</v>
      </c>
      <c r="D80" s="9">
        <f>Processing_index!$AD$7</f>
        <v>0.4267659531137234</v>
      </c>
      <c r="E80" s="10">
        <f>Processing_index!$AE$7</f>
        <v>3</v>
      </c>
      <c r="F80" s="8">
        <f>Processing_index!$X$7</f>
        <v>0.24793004845616406</v>
      </c>
      <c r="G80" s="8">
        <f>Processing_index!$Y$7</f>
        <v>0.37847028259310556</v>
      </c>
    </row>
    <row r="81" spans="1:8" x14ac:dyDescent="0.2">
      <c r="A81" t="s">
        <v>114</v>
      </c>
      <c r="B81" s="9">
        <f>Processing_index!$Z$8</f>
        <v>0.38101874562558558</v>
      </c>
      <c r="C81" s="9">
        <f>Processing_index!$AC$8</f>
        <v>0.94659527701543511</v>
      </c>
      <c r="D81" s="9">
        <f>Processing_index!$AD$8</f>
        <v>0.36067054506352481</v>
      </c>
      <c r="E81" s="10">
        <f>Processing_index!$AE$8</f>
        <v>2</v>
      </c>
      <c r="F81" s="8">
        <f>Processing_index!$X$8</f>
        <v>0.30522770171286906</v>
      </c>
      <c r="G81" s="8">
        <f>Processing_index!$Y$8</f>
        <v>0.21868357069433142</v>
      </c>
    </row>
    <row r="82" spans="1:8" x14ac:dyDescent="0.2">
      <c r="A82" t="s">
        <v>233</v>
      </c>
      <c r="B82" s="9">
        <f>Processing_index!$Z$15</f>
        <v>0.28916213996704992</v>
      </c>
      <c r="C82" s="9">
        <f>Processing_index!$AC$15</f>
        <v>0.91956906669776806</v>
      </c>
      <c r="D82" s="9">
        <f>Processing_index!$AD$15</f>
        <v>0.26590455917382949</v>
      </c>
      <c r="E82" s="10">
        <f>Processing_index!$AE$15</f>
        <v>2</v>
      </c>
      <c r="F82" s="8">
        <f>Processing_index!$X$15</f>
        <v>0.2878422920892495</v>
      </c>
      <c r="G82" s="8">
        <f>Processing_index!$Y$15</f>
        <v>0.23855688878459491</v>
      </c>
    </row>
    <row r="83" spans="1:8" x14ac:dyDescent="0.2">
      <c r="A83" t="s">
        <v>120</v>
      </c>
      <c r="B83" s="9">
        <f>Processing_index!$Z$14</f>
        <v>0.27389540126795742</v>
      </c>
      <c r="C83" s="9">
        <f>Processing_index!$AC$14</f>
        <v>0.89287449374211725</v>
      </c>
      <c r="D83" s="9">
        <f>Processing_index!$AD$14</f>
        <v>0.24455421774542155</v>
      </c>
      <c r="E83" s="10">
        <f>Processing_index!$AE$14</f>
        <v>2</v>
      </c>
      <c r="F83" s="8">
        <f>Processing_index!$X$14</f>
        <v>0.19041617365336938</v>
      </c>
      <c r="G83" s="8">
        <f>Processing_index!$Y$14</f>
        <v>0.23627724257503446</v>
      </c>
    </row>
    <row r="86" spans="1:8" x14ac:dyDescent="0.2">
      <c r="A86" s="3" t="s">
        <v>348</v>
      </c>
    </row>
    <row r="87" spans="1:8" ht="48" x14ac:dyDescent="0.2">
      <c r="A87" s="6" t="s">
        <v>349</v>
      </c>
      <c r="B87" s="6" t="s">
        <v>125</v>
      </c>
      <c r="C87" s="6" t="s">
        <v>212</v>
      </c>
      <c r="D87" s="6" t="s">
        <v>350</v>
      </c>
      <c r="E87" s="6" t="s">
        <v>351</v>
      </c>
      <c r="F87" s="6" t="s">
        <v>352</v>
      </c>
      <c r="G87" s="6" t="s">
        <v>353</v>
      </c>
      <c r="H87" s="6" t="s">
        <v>354</v>
      </c>
    </row>
    <row r="88" spans="1:8" x14ac:dyDescent="0.2">
      <c r="A88" s="10">
        <f>Processing_index!$AF$11</f>
        <v>1</v>
      </c>
      <c r="B88" t="s">
        <v>117</v>
      </c>
      <c r="C88" s="9">
        <f>Processing_index!$AD$11</f>
        <v>0.72440083411108147</v>
      </c>
      <c r="D88" s="9">
        <f>TOPSIS!$I$28</f>
        <v>0.69943489684542004</v>
      </c>
      <c r="E88" s="10">
        <f>TOPSIS!$J$28</f>
        <v>1</v>
      </c>
      <c r="F88" s="10">
        <f>TOPSIS!$J$46</f>
        <v>1</v>
      </c>
      <c r="G88" s="9">
        <f>Normalisation_check!$AD$11</f>
        <v>0.66124333334158703</v>
      </c>
      <c r="H88" s="10">
        <f>Normalisation_check!$AF$11</f>
        <v>1</v>
      </c>
    </row>
    <row r="89" spans="1:8" x14ac:dyDescent="0.2">
      <c r="A89" s="10">
        <f>Processing_index!$AF$9</f>
        <v>2</v>
      </c>
      <c r="B89" t="s">
        <v>115</v>
      </c>
      <c r="C89" s="9">
        <f>Processing_index!$AD$9</f>
        <v>0.64280316374369395</v>
      </c>
      <c r="D89" s="9">
        <f>TOPSIS!$I$26</f>
        <v>0.695291399599263</v>
      </c>
      <c r="E89" s="10">
        <f>TOPSIS!$J$26</f>
        <v>2</v>
      </c>
      <c r="F89" s="10">
        <f>TOPSIS!$J$44</f>
        <v>2</v>
      </c>
      <c r="G89" s="9">
        <f>Normalisation_check!$AD$9</f>
        <v>0.55216946940040379</v>
      </c>
      <c r="H89" s="10">
        <f>Normalisation_check!$AF$9</f>
        <v>2</v>
      </c>
    </row>
    <row r="90" spans="1:8" x14ac:dyDescent="0.2">
      <c r="A90" s="10">
        <f>Processing_index!$AF$13</f>
        <v>3</v>
      </c>
      <c r="B90" t="s">
        <v>119</v>
      </c>
      <c r="C90" s="9">
        <f>Processing_index!$AD$13</f>
        <v>0.61747002179946153</v>
      </c>
      <c r="D90" s="9">
        <f>TOPSIS!$I$30</f>
        <v>0.59654143024684603</v>
      </c>
      <c r="E90" s="10">
        <f>TOPSIS!$J$30</f>
        <v>4</v>
      </c>
      <c r="F90" s="10">
        <f>TOPSIS!$J$48</f>
        <v>3</v>
      </c>
      <c r="G90" s="9">
        <f>Normalisation_check!$AD$13</f>
        <v>0.50559579191504</v>
      </c>
      <c r="H90" s="10">
        <f>Normalisation_check!$AF$13</f>
        <v>3</v>
      </c>
    </row>
    <row r="91" spans="1:8" x14ac:dyDescent="0.2">
      <c r="A91" s="10">
        <f>Processing_index!$AF$12</f>
        <v>4</v>
      </c>
      <c r="B91" t="s">
        <v>118</v>
      </c>
      <c r="C91" s="9">
        <f>Processing_index!$AD$12</f>
        <v>0.54376977974634855</v>
      </c>
      <c r="D91" s="9">
        <f>TOPSIS!$I$29</f>
        <v>0.53345075562072053</v>
      </c>
      <c r="E91" s="10">
        <f>TOPSIS!$J$29</f>
        <v>5</v>
      </c>
      <c r="F91" s="10">
        <f>TOPSIS!$J$47</f>
        <v>5</v>
      </c>
      <c r="G91" s="9">
        <f>Normalisation_check!$AD$12</f>
        <v>0.43379841811903691</v>
      </c>
      <c r="H91" s="10">
        <f>Normalisation_check!$AF$12</f>
        <v>4</v>
      </c>
    </row>
    <row r="92" spans="1:8" x14ac:dyDescent="0.2">
      <c r="A92" s="10">
        <f>Processing_index!$AF$6</f>
        <v>5</v>
      </c>
      <c r="B92" t="s">
        <v>112</v>
      </c>
      <c r="C92" s="9">
        <f>Processing_index!$AD$6</f>
        <v>0.53774529184286435</v>
      </c>
      <c r="D92" s="9">
        <f>TOPSIS!$I$23</f>
        <v>0.66696940546376726</v>
      </c>
      <c r="E92" s="10">
        <f>TOPSIS!$J$23</f>
        <v>3</v>
      </c>
      <c r="F92" s="10">
        <f>TOPSIS!$J$41</f>
        <v>4</v>
      </c>
      <c r="G92" s="9">
        <f>Normalisation_check!$AD$6</f>
        <v>0.38954536698580211</v>
      </c>
      <c r="H92" s="10">
        <f>Normalisation_check!$AF$6</f>
        <v>5</v>
      </c>
    </row>
    <row r="93" spans="1:8" x14ac:dyDescent="0.2">
      <c r="A93" s="10">
        <f>Processing_index!$AF$10</f>
        <v>6</v>
      </c>
      <c r="B93" t="s">
        <v>116</v>
      </c>
      <c r="C93" s="9">
        <f>Processing_index!$AD$10</f>
        <v>0.44584051764466737</v>
      </c>
      <c r="D93" s="9">
        <f>TOPSIS!$I$27</f>
        <v>0.34168822994691922</v>
      </c>
      <c r="E93" s="10">
        <f>TOPSIS!$J$27</f>
        <v>6</v>
      </c>
      <c r="F93" s="10">
        <f>TOPSIS!$J$45</f>
        <v>6</v>
      </c>
      <c r="G93" s="9">
        <f>Normalisation_check!$AD$10</f>
        <v>0.280612753332669</v>
      </c>
      <c r="H93" s="10">
        <f>Normalisation_check!$AF$10</f>
        <v>6</v>
      </c>
    </row>
    <row r="94" spans="1:8" x14ac:dyDescent="0.2">
      <c r="A94" s="10">
        <f>Processing_index!$AF$7</f>
        <v>7</v>
      </c>
      <c r="B94" t="s">
        <v>113</v>
      </c>
      <c r="C94" s="9">
        <f>Processing_index!$AD$7</f>
        <v>0.4267659531137234</v>
      </c>
      <c r="D94" s="9">
        <f>TOPSIS!$I$24</f>
        <v>0.33678314069409521</v>
      </c>
      <c r="E94" s="10">
        <f>TOPSIS!$J$24</f>
        <v>7</v>
      </c>
      <c r="F94" s="10">
        <f>TOPSIS!$J$42</f>
        <v>7</v>
      </c>
      <c r="G94" s="9">
        <f>Normalisation_check!$AD$7</f>
        <v>0.25831403503034828</v>
      </c>
      <c r="H94" s="10">
        <f>Normalisation_check!$AF$7</f>
        <v>7</v>
      </c>
    </row>
    <row r="95" spans="1:8" x14ac:dyDescent="0.2">
      <c r="A95" s="10">
        <f>Processing_index!$AF$8</f>
        <v>8</v>
      </c>
      <c r="B95" t="s">
        <v>114</v>
      </c>
      <c r="C95" s="9">
        <f>Processing_index!$AD$8</f>
        <v>0.36067054506352481</v>
      </c>
      <c r="D95" s="9">
        <f>TOPSIS!$I$25</f>
        <v>0.31415648918588018</v>
      </c>
      <c r="E95" s="10">
        <f>TOPSIS!$J$25</f>
        <v>8</v>
      </c>
      <c r="F95" s="10">
        <f>TOPSIS!$J$43</f>
        <v>8</v>
      </c>
      <c r="G95" s="9">
        <f>Normalisation_check!$AD$8</f>
        <v>0.19937639993655518</v>
      </c>
      <c r="H95" s="10">
        <f>Normalisation_check!$AF$8</f>
        <v>8</v>
      </c>
    </row>
    <row r="96" spans="1:8" x14ac:dyDescent="0.2">
      <c r="A96" s="10">
        <f>Processing_index!$AF$15</f>
        <v>9</v>
      </c>
      <c r="B96" t="s">
        <v>233</v>
      </c>
      <c r="C96" s="9">
        <f>Processing_index!$AD$15</f>
        <v>0.26590455917382949</v>
      </c>
      <c r="D96" s="9">
        <f>TOPSIS!$I$32</f>
        <v>0.17632309536115978</v>
      </c>
      <c r="E96" s="10">
        <f>TOPSIS!$J$32</f>
        <v>9</v>
      </c>
      <c r="F96" s="10">
        <f>TOPSIS!$J$50</f>
        <v>9</v>
      </c>
      <c r="G96" s="9">
        <f>Normalisation_check!$AD$15</f>
        <v>8.1526699327213306E-2</v>
      </c>
      <c r="H96" s="10">
        <f>Normalisation_check!$AF$15</f>
        <v>9</v>
      </c>
    </row>
    <row r="97" spans="1:8" x14ac:dyDescent="0.2">
      <c r="A97" s="10">
        <f>Processing_index!$AF$14</f>
        <v>10</v>
      </c>
      <c r="B97" t="s">
        <v>120</v>
      </c>
      <c r="C97" s="9">
        <f>Processing_index!$AD$14</f>
        <v>0.24455421774542155</v>
      </c>
      <c r="D97" s="9">
        <f>TOPSIS!$I$31</f>
        <v>5.0755853486984956E-2</v>
      </c>
      <c r="E97" s="10">
        <f>TOPSIS!$J$31</f>
        <v>10</v>
      </c>
      <c r="F97" s="10">
        <f>TOPSIS!$J$49</f>
        <v>10</v>
      </c>
      <c r="G97" s="9">
        <f>Normalisation_check!$AD$14</f>
        <v>7.0747706712402769E-2</v>
      </c>
      <c r="H97" s="10">
        <f>Normalisation_check!$AF$14</f>
        <v>10</v>
      </c>
    </row>
    <row r="98" spans="1:8" x14ac:dyDescent="0.2">
      <c r="A98" s="11" t="s">
        <v>355</v>
      </c>
      <c r="B98" s="11" t="s">
        <v>142</v>
      </c>
      <c r="C98" s="11" t="s">
        <v>156</v>
      </c>
      <c r="D98" s="11" t="s">
        <v>163</v>
      </c>
      <c r="E98" s="11" t="s">
        <v>174</v>
      </c>
      <c r="F98" s="11" t="s">
        <v>183</v>
      </c>
    </row>
    <row r="99" spans="1:8" x14ac:dyDescent="0.2">
      <c r="B99" s="9">
        <f>TOPSIS!$B$18</f>
        <v>0.26677544937812547</v>
      </c>
      <c r="C99" s="9">
        <f>TOPSIS!$C$18</f>
        <v>0.27811394220220365</v>
      </c>
      <c r="D99" s="9">
        <f>TOPSIS!$D$18</f>
        <v>0.16703306321860847</v>
      </c>
      <c r="E99" s="9">
        <f>TOPSIS!$E$18</f>
        <v>0.11148960962598704</v>
      </c>
      <c r="F99" s="9">
        <f>TOPSIS!$F$18</f>
        <v>0.17658793557507538</v>
      </c>
    </row>
    <row r="100" spans="1:8" x14ac:dyDescent="0.2">
      <c r="A100" t="s">
        <v>356</v>
      </c>
      <c r="B100" s="9">
        <f>TOPSIS!$B$60</f>
        <v>0.96363636363636362</v>
      </c>
    </row>
    <row r="101" spans="1:8" x14ac:dyDescent="0.2">
      <c r="A101" t="s">
        <v>230</v>
      </c>
      <c r="B101" s="9">
        <f>TOPSIS!$B$61</f>
        <v>0.95697440583233107</v>
      </c>
    </row>
    <row r="102" spans="1:8" x14ac:dyDescent="0.2">
      <c r="A102" t="s">
        <v>231</v>
      </c>
      <c r="B102" s="9">
        <f>TOPSIS!$B$62</f>
        <v>0.98787878787878791</v>
      </c>
    </row>
    <row r="105" spans="1:8" x14ac:dyDescent="0.2">
      <c r="A105" s="3" t="s">
        <v>357</v>
      </c>
    </row>
    <row r="106" spans="1:8" ht="64" x14ac:dyDescent="0.2">
      <c r="A106" s="6" t="s">
        <v>358</v>
      </c>
      <c r="B106" s="6" t="s">
        <v>359</v>
      </c>
      <c r="C106" s="6" t="s">
        <v>360</v>
      </c>
      <c r="D106" s="6" t="s">
        <v>361</v>
      </c>
    </row>
    <row r="107" spans="1:8" x14ac:dyDescent="0.2">
      <c r="A107" t="s">
        <v>362</v>
      </c>
      <c r="B107">
        <f>COUNT(Sensitivity!$E$16,Sensitivity!$G$16,Sensitivity!$I$16,Sensitivity!$K$16,Sensitivity!$M$16,Sensitivity!$O$16)</f>
        <v>6</v>
      </c>
      <c r="C107" s="9">
        <f>MIN(Sensitivity!$E$16,Sensitivity!$G$16,Sensitivity!$I$16,Sensitivity!$K$16,Sensitivity!$M$16,Sensitivity!$O$16)</f>
        <v>0.98787878787878791</v>
      </c>
      <c r="D107" t="s">
        <v>363</v>
      </c>
    </row>
    <row r="108" spans="1:8" x14ac:dyDescent="0.2">
      <c r="A108" t="s">
        <v>364</v>
      </c>
      <c r="B108">
        <f>COUNT(Sensitivity!$E$34,Sensitivity!$G$34,Sensitivity!$I$34,Sensitivity!$K$34,Sensitivity!$M$34)</f>
        <v>5</v>
      </c>
      <c r="C108" s="9">
        <f>MIN(Sensitivity!$E$34,Sensitivity!$G$34,Sensitivity!$I$34,Sensitivity!$K$34,Sensitivity!$M$34)</f>
        <v>1</v>
      </c>
      <c r="D108" t="s">
        <v>365</v>
      </c>
    </row>
    <row r="109" spans="1:8" x14ac:dyDescent="0.2">
      <c r="A109" t="s">
        <v>366</v>
      </c>
      <c r="B109">
        <f>COUNT(Sensitivity!$B$51)</f>
        <v>1</v>
      </c>
      <c r="C109" s="9">
        <f>MIN(Sensitivity!$B$51)</f>
        <v>1</v>
      </c>
      <c r="D109" t="s">
        <v>365</v>
      </c>
    </row>
    <row r="110" spans="1:8" x14ac:dyDescent="0.2">
      <c r="A110" t="s">
        <v>367</v>
      </c>
      <c r="B110">
        <f>COUNT(Sensitivity!$B$84,Sensitivity!$B$99,Sensitivity!$B$114,Sensitivity!$B$129,Sensitivity!$B$144,Sensitivity!$B$159,Sensitivity!$B$174,Sensitivity!$B$189,Sensitivity!$B$204,Sensitivity!$B$219,Sensitivity!$B$234,Sensitivity!$B$249,Sensitivity!$B$264)</f>
        <v>13</v>
      </c>
      <c r="C110" s="9">
        <f>MIN(Sensitivity!$B$84,Sensitivity!$B$99,Sensitivity!$B$114,Sensitivity!$B$129,Sensitivity!$B$144,Sensitivity!$B$159,Sensitivity!$B$174,Sensitivity!$B$189,Sensitivity!$B$204,Sensitivity!$B$219,Sensitivity!$B$234,Sensitivity!$B$249,Sensitivity!$B$264)</f>
        <v>0.97575757575757571</v>
      </c>
      <c r="D110" t="s">
        <v>368</v>
      </c>
    </row>
    <row r="111" spans="1:8" x14ac:dyDescent="0.2">
      <c r="A111" t="s">
        <v>369</v>
      </c>
      <c r="B111">
        <f>COUNT(Sensitivity!$B$288,Sensitivity!$B$303,Sensitivity!$B$318,Sensitivity!$B$333,Sensitivity!$B$348)</f>
        <v>5</v>
      </c>
      <c r="C111" s="9">
        <f>MIN(Sensitivity!$B$288,Sensitivity!$B$303,Sensitivity!$B$318,Sensitivity!$B$333,Sensitivity!$B$348)</f>
        <v>0.96363636363636362</v>
      </c>
      <c r="D111" t="s">
        <v>370</v>
      </c>
    </row>
    <row r="112" spans="1:8" x14ac:dyDescent="0.2">
      <c r="A112" t="s">
        <v>371</v>
      </c>
      <c r="B112">
        <f>COUNT(Sensitivity!$B$367)</f>
        <v>1</v>
      </c>
      <c r="C112" s="9">
        <f>MIN(Sensitivity!$B$367)</f>
        <v>0.98787878787878791</v>
      </c>
      <c r="D112" t="s">
        <v>372</v>
      </c>
    </row>
    <row r="113" spans="1:5" x14ac:dyDescent="0.2">
      <c r="A113" t="s">
        <v>373</v>
      </c>
      <c r="B113">
        <f>COUNT(Sensitivity!$B$385)</f>
        <v>1</v>
      </c>
      <c r="C113" s="9">
        <f>MIN(Sensitivity!$B$385)</f>
        <v>0.98787878787878791</v>
      </c>
      <c r="D113" t="s">
        <v>374</v>
      </c>
    </row>
    <row r="116" spans="1:5" x14ac:dyDescent="0.2">
      <c r="A116" s="3" t="s">
        <v>375</v>
      </c>
    </row>
    <row r="117" spans="1:5" ht="32" x14ac:dyDescent="0.2">
      <c r="A117" s="6" t="s">
        <v>125</v>
      </c>
      <c r="B117" s="6" t="s">
        <v>287</v>
      </c>
      <c r="C117" s="6" t="s">
        <v>376</v>
      </c>
      <c r="D117" s="6" t="s">
        <v>377</v>
      </c>
      <c r="E117" s="6" t="s">
        <v>378</v>
      </c>
    </row>
    <row r="118" spans="1:5" x14ac:dyDescent="0.2">
      <c r="A118" t="s">
        <v>236</v>
      </c>
      <c r="B118" s="8">
        <f>Transition_checks!$B$4</f>
        <v>1</v>
      </c>
      <c r="C118" s="8">
        <f>Transition_checks!$C$4</f>
        <v>1</v>
      </c>
      <c r="D118" s="8">
        <f>Transition_checks!$D$4</f>
        <v>1</v>
      </c>
      <c r="E118" s="7">
        <f>Transition_checks!$K$4</f>
        <v>4.3193975332991634</v>
      </c>
    </row>
    <row r="119" spans="1:5" x14ac:dyDescent="0.2">
      <c r="A119" t="s">
        <v>111</v>
      </c>
      <c r="B119" s="8">
        <f>Transition_checks!$B$5</f>
        <v>1.0063356585902026</v>
      </c>
      <c r="C119" s="8">
        <f>Transition_checks!$C$5</f>
        <v>2.6892488954344627</v>
      </c>
      <c r="D119" s="8">
        <f>Transition_checks!$D$5</f>
        <v>3.3006886967658264</v>
      </c>
      <c r="E119" s="7">
        <f>Transition_checks!$K$5</f>
        <v>2.3625755624858904</v>
      </c>
    </row>
    <row r="120" spans="1:5" x14ac:dyDescent="0.2">
      <c r="A120" t="s">
        <v>117</v>
      </c>
      <c r="B120" s="8">
        <f>Transition_checks!$B$11</f>
        <v>1.2976342823406777</v>
      </c>
      <c r="C120" s="8">
        <f>Transition_checks!$C$11</f>
        <v>6.774668630338733E-2</v>
      </c>
      <c r="D120" s="8">
        <f>Transition_checks!$D$11</f>
        <v>0.13916814248835777</v>
      </c>
      <c r="E120" s="7">
        <f>Transition_checks!$K$11</f>
        <v>9.7482478273058604</v>
      </c>
    </row>
    <row r="121" spans="1:5" x14ac:dyDescent="0.2">
      <c r="A121" t="s">
        <v>115</v>
      </c>
      <c r="B121" s="8">
        <f>Transition_checks!$B$9</f>
        <v>1.1514666781056726</v>
      </c>
      <c r="C121" s="8">
        <f>Transition_checks!$C$9</f>
        <v>0.50220913107511045</v>
      </c>
      <c r="D121" s="8">
        <f>Transition_checks!$D$9</f>
        <v>0.47098578657553281</v>
      </c>
      <c r="E121" s="7">
        <f>Transition_checks!$K$9</f>
        <v>4.3418951752863588</v>
      </c>
    </row>
    <row r="122" spans="1:5" x14ac:dyDescent="0.2">
      <c r="A122" t="s">
        <v>119</v>
      </c>
      <c r="B122" s="8">
        <f>Transition_checks!$B$13</f>
        <v>1.1060868939885304</v>
      </c>
      <c r="C122" s="8">
        <f>Transition_checks!$C$13</f>
        <v>1.1826215022091309</v>
      </c>
      <c r="D122" s="8">
        <f>Transition_checks!$D$13</f>
        <v>1.4810461996422961</v>
      </c>
      <c r="E122" s="7">
        <f>Transition_checks!$K$13</f>
        <v>3.4318960121602293</v>
      </c>
    </row>
    <row r="123" spans="1:5" x14ac:dyDescent="0.2">
      <c r="A123" t="s">
        <v>118</v>
      </c>
      <c r="B123" s="8">
        <f>Transition_checks!$B$12</f>
        <v>0.97406611736659132</v>
      </c>
      <c r="C123" s="8">
        <f>Transition_checks!$C$12</f>
        <v>0.68924889543446244</v>
      </c>
      <c r="D123" s="8">
        <f>Transition_checks!$D$12</f>
        <v>0.44952327929313896</v>
      </c>
      <c r="E123" s="7">
        <f>Transition_checks!$K$12</f>
        <v>7.5124572764885764</v>
      </c>
    </row>
    <row r="124" spans="1:5" x14ac:dyDescent="0.2">
      <c r="A124" t="s">
        <v>112</v>
      </c>
      <c r="B124" s="8">
        <f>Transition_checks!$B$6</f>
        <v>0.96327432687024162</v>
      </c>
      <c r="C124" s="8">
        <f>Transition_checks!$C$6</f>
        <v>0.19734904270986747</v>
      </c>
      <c r="D124" s="8">
        <f>Transition_checks!$D$6</f>
        <v>1.45636001155464</v>
      </c>
      <c r="E124" s="7">
        <f>Transition_checks!$K$6</f>
        <v>4.572508093165367</v>
      </c>
    </row>
    <row r="125" spans="1:5" x14ac:dyDescent="0.2">
      <c r="A125" t="s">
        <v>116</v>
      </c>
      <c r="B125" s="8">
        <f>Transition_checks!$B$10</f>
        <v>0.79864339314595501</v>
      </c>
      <c r="C125" s="8">
        <f>Transition_checks!$C$10</f>
        <v>0.19293078055964655</v>
      </c>
      <c r="D125" s="8">
        <f>Transition_checks!$D$10</f>
        <v>0.12421191530405645</v>
      </c>
      <c r="E125" s="7">
        <f>Transition_checks!$K$10</f>
        <v>5.8573790822653997</v>
      </c>
    </row>
    <row r="126" spans="1:5" x14ac:dyDescent="0.2">
      <c r="A126" t="s">
        <v>113</v>
      </c>
      <c r="B126" s="8">
        <f>Transition_checks!$B$7</f>
        <v>0.76447472893335011</v>
      </c>
      <c r="C126" s="8">
        <f>Transition_checks!$C$7</f>
        <v>0.38586156111929309</v>
      </c>
      <c r="D126" s="8">
        <f>Transition_checks!$D$7</f>
        <v>0.72994889185733625</v>
      </c>
      <c r="E126" s="7">
        <f>Transition_checks!$K$7</f>
        <v>4.5481905087060426</v>
      </c>
    </row>
    <row r="127" spans="1:5" x14ac:dyDescent="0.2">
      <c r="A127" t="s">
        <v>114</v>
      </c>
      <c r="B127" s="8">
        <f>Transition_checks!$B$8</f>
        <v>0.64607664964830902</v>
      </c>
      <c r="C127" s="8">
        <f>Transition_checks!$C$8</f>
        <v>0.48011782032400591</v>
      </c>
      <c r="D127" s="8">
        <f>Transition_checks!$D$8</f>
        <v>0.23029720122189656</v>
      </c>
      <c r="E127" s="7">
        <f>Transition_checks!$K$8</f>
        <v>11.812820512820512</v>
      </c>
    </row>
    <row r="128" spans="1:5" x14ac:dyDescent="0.2">
      <c r="A128" t="s">
        <v>233</v>
      </c>
      <c r="B128" s="8">
        <f>Transition_checks!$B$15</f>
        <v>0.47632036790523091</v>
      </c>
      <c r="C128" s="8">
        <f>Transition_checks!$C$15</f>
        <v>0.58176735264986246</v>
      </c>
      <c r="D128" s="8">
        <f>Transition_checks!$D$15</f>
        <v>0.40763183272711706</v>
      </c>
      <c r="E128" t="s">
        <v>379</v>
      </c>
    </row>
    <row r="129" spans="1:16" x14ac:dyDescent="0.2">
      <c r="A129" t="s">
        <v>120</v>
      </c>
      <c r="B129" s="8">
        <f>Transition_checks!$B$14</f>
        <v>0.43807505719796547</v>
      </c>
      <c r="C129" s="8">
        <f>Transition_checks!$C$14</f>
        <v>8.2474226804123724E-2</v>
      </c>
      <c r="D129" s="8">
        <f>Transition_checks!$D$14</f>
        <v>0.17775718446568192</v>
      </c>
      <c r="E129" s="7">
        <f>Transition_checks!$K$14</f>
        <v>6.9827586206896548</v>
      </c>
    </row>
    <row r="130" spans="1:16" x14ac:dyDescent="0.2">
      <c r="A130" s="11" t="s">
        <v>380</v>
      </c>
      <c r="B130" s="8">
        <f>Transition_checks!$B$17</f>
        <v>0.96327432687024162</v>
      </c>
      <c r="C130" s="8">
        <f>Transition_checks!$B$18</f>
        <v>0.38586156111929309</v>
      </c>
      <c r="D130" s="8">
        <f>Transition_checks!$B$19</f>
        <v>0.44952327929313896</v>
      </c>
      <c r="E130" s="7">
        <f>Transition_checks!$B$20</f>
        <v>5.8573790822653997</v>
      </c>
    </row>
    <row r="133" spans="1:16" x14ac:dyDescent="0.2">
      <c r="A133" s="3" t="s">
        <v>381</v>
      </c>
    </row>
    <row r="134" spans="1:16" ht="32" x14ac:dyDescent="0.2">
      <c r="A134" s="6" t="s">
        <v>35</v>
      </c>
      <c r="B134" s="6" t="s">
        <v>108</v>
      </c>
      <c r="C134" s="6" t="s">
        <v>109</v>
      </c>
      <c r="D134" s="6" t="s">
        <v>110</v>
      </c>
      <c r="E134" s="6" t="s">
        <v>111</v>
      </c>
      <c r="F134" s="6" t="s">
        <v>112</v>
      </c>
      <c r="G134" s="6" t="s">
        <v>113</v>
      </c>
      <c r="H134" s="6" t="s">
        <v>114</v>
      </c>
      <c r="I134" s="6" t="s">
        <v>115</v>
      </c>
      <c r="J134" s="6" t="s">
        <v>116</v>
      </c>
      <c r="K134" s="6" t="s">
        <v>117</v>
      </c>
      <c r="L134" s="6" t="s">
        <v>118</v>
      </c>
      <c r="M134" s="6" t="s">
        <v>119</v>
      </c>
      <c r="N134" s="6" t="s">
        <v>120</v>
      </c>
      <c r="O134" s="6" t="s">
        <v>121</v>
      </c>
      <c r="P134" s="6" t="s">
        <v>122</v>
      </c>
    </row>
    <row r="135" spans="1:16" x14ac:dyDescent="0.2">
      <c r="A135" t="s">
        <v>307</v>
      </c>
      <c r="B135" s="7">
        <f>Farm_results!$B$4</f>
        <v>3.9502003244925663</v>
      </c>
      <c r="C135" s="7">
        <f>Farm_results!$C$4</f>
        <v>6.79</v>
      </c>
      <c r="D135" s="7">
        <f>Farm_results!$D$4</f>
        <v>31.3</v>
      </c>
      <c r="E135" s="7">
        <f>Farm_results!$E$4</f>
        <v>18.260000000000002</v>
      </c>
      <c r="F135" s="7">
        <f>Farm_results!$F$4</f>
        <v>1.34</v>
      </c>
      <c r="G135" s="7">
        <f>Farm_results!$G$4</f>
        <v>2.62</v>
      </c>
      <c r="H135" s="7">
        <f>Farm_results!$H$4</f>
        <v>3.26</v>
      </c>
      <c r="I135" s="7">
        <f>Farm_results!$I$4</f>
        <v>3.41</v>
      </c>
      <c r="J135" s="7">
        <f>Farm_results!$J$4</f>
        <v>1.31</v>
      </c>
      <c r="K135" s="7">
        <f>Farm_results!$K$4</f>
        <v>0.46</v>
      </c>
      <c r="L135" s="7">
        <f>Farm_results!$L$4</f>
        <v>4.68</v>
      </c>
      <c r="M135" s="7">
        <f>Farm_results!$M$4</f>
        <v>8.0299999999999994</v>
      </c>
      <c r="N135" s="7">
        <f>Farm_results!$N$4</f>
        <v>0.56000000000000005</v>
      </c>
      <c r="O135" s="8">
        <f>Farm_results!$O$4</f>
        <v>0.58176735264986246</v>
      </c>
      <c r="P135" s="8">
        <f>Farm_results!$P$4</f>
        <v>0.12620448321062511</v>
      </c>
    </row>
    <row r="136" spans="1:16" x14ac:dyDescent="0.2">
      <c r="A136" t="s">
        <v>382</v>
      </c>
      <c r="B136" s="7">
        <f>Farm_results!$B$5</f>
        <v>3.016456408728188</v>
      </c>
      <c r="C136" s="7">
        <f>Farm_results!$C$5</f>
        <v>1.76</v>
      </c>
      <c r="D136" s="7">
        <f>Farm_results!$D$5</f>
        <v>16.55</v>
      </c>
      <c r="E136" s="7">
        <f>Farm_results!$E$5</f>
        <v>3.27</v>
      </c>
      <c r="F136" s="7">
        <f>Farm_results!$F$5</f>
        <v>0.22</v>
      </c>
      <c r="G136" s="7">
        <f>Farm_results!$G$5</f>
        <v>1.01</v>
      </c>
      <c r="H136" s="7">
        <f>Farm_results!$H$5</f>
        <v>0.14000000000000001</v>
      </c>
      <c r="I136" s="7">
        <f>Farm_results!$I$5</f>
        <v>0.86</v>
      </c>
      <c r="J136" s="7">
        <f>Farm_results!$J$5</f>
        <v>0.59</v>
      </c>
      <c r="K136" s="7">
        <f>Farm_results!$K$5</f>
        <v>0.05</v>
      </c>
      <c r="L136" s="7">
        <f>Farm_results!$L$5</f>
        <v>2.72</v>
      </c>
      <c r="M136" s="7">
        <f>Farm_results!$M$5</f>
        <v>5.04</v>
      </c>
      <c r="N136" s="7">
        <f>Farm_results!$N$5</f>
        <v>0.26</v>
      </c>
      <c r="O136" s="8">
        <f>Farm_results!$O$5</f>
        <v>1.7138956867773796</v>
      </c>
      <c r="P136" s="8">
        <f>Farm_results!$P$5</f>
        <v>0.18226322711348567</v>
      </c>
    </row>
    <row r="137" spans="1:16" x14ac:dyDescent="0.2">
      <c r="A137" t="s">
        <v>383</v>
      </c>
      <c r="B137" s="7">
        <f>Farm_results!$B$6</f>
        <v>1.3906824277341809</v>
      </c>
      <c r="C137" s="7">
        <f>Farm_results!$C$6</f>
        <v>4.21</v>
      </c>
      <c r="D137" s="7">
        <f>Farm_results!$D$6</f>
        <v>8.07</v>
      </c>
      <c r="E137" s="7">
        <f>Farm_results!$E$6</f>
        <v>7.7</v>
      </c>
      <c r="F137" s="7">
        <f>Farm_results!$F$6</f>
        <v>12.66</v>
      </c>
      <c r="G137" s="7">
        <f>Farm_results!$G$6</f>
        <v>3.34</v>
      </c>
      <c r="H137" s="7">
        <f>Farm_results!$H$6</f>
        <v>0.45</v>
      </c>
      <c r="I137" s="7">
        <f>Farm_results!$I$6</f>
        <v>0.76</v>
      </c>
      <c r="J137" s="7">
        <f>Farm_results!$J$6</f>
        <v>0.18</v>
      </c>
      <c r="K137" s="7">
        <f>Farm_results!$K$6</f>
        <v>0.43</v>
      </c>
      <c r="L137" s="7">
        <f>Farm_results!$L$6</f>
        <v>1.39</v>
      </c>
      <c r="M137" s="7">
        <f>Farm_results!$M$6</f>
        <v>4.75</v>
      </c>
      <c r="N137" s="7">
        <f>Farm_results!$N$6</f>
        <v>0.28999999999999998</v>
      </c>
      <c r="O137" s="8">
        <f>Farm_results!$O$6</f>
        <v>0.33032836763282208</v>
      </c>
      <c r="P137" s="8">
        <f>Farm_results!$P$6</f>
        <v>0.17232743838093939</v>
      </c>
    </row>
    <row r="138" spans="1:16" x14ac:dyDescent="0.2">
      <c r="A138" t="s">
        <v>310</v>
      </c>
      <c r="B138" s="7">
        <f>Farm_results!$B$7</f>
        <v>1.2946591172477733</v>
      </c>
      <c r="C138" s="7">
        <f>Farm_results!$C$7</f>
        <v>5.32</v>
      </c>
      <c r="D138" s="7">
        <f>Farm_results!$D$7</f>
        <v>16.739999999999998</v>
      </c>
      <c r="E138" s="7">
        <f>Farm_results!$E$7</f>
        <v>18.59</v>
      </c>
      <c r="F138" s="7">
        <f>Farm_results!$F$7</f>
        <v>13.69</v>
      </c>
      <c r="G138" s="7">
        <f>Farm_results!$G$7</f>
        <v>5.8</v>
      </c>
      <c r="H138" s="7">
        <f>Farm_results!$H$7</f>
        <v>0.78</v>
      </c>
      <c r="I138" s="7">
        <f>Farm_results!$I$7</f>
        <v>3.36</v>
      </c>
      <c r="J138" s="7">
        <f>Farm_results!$J$7</f>
        <v>0.71</v>
      </c>
      <c r="K138" s="7">
        <f>Farm_results!$K$7</f>
        <v>0.87</v>
      </c>
      <c r="L138" s="7">
        <f>Farm_results!$L$7</f>
        <v>4.08</v>
      </c>
      <c r="M138" s="7">
        <f>Farm_results!$M$7</f>
        <v>9.6</v>
      </c>
      <c r="N138" s="7">
        <f>Farm_results!$N$7</f>
        <v>0.9</v>
      </c>
      <c r="O138" s="8">
        <f>Farm_results!$O$7</f>
        <v>0.24335697692627317</v>
      </c>
      <c r="P138" s="8">
        <f>Farm_results!$P$7</f>
        <v>7.7339254315876543E-2</v>
      </c>
    </row>
    <row r="139" spans="1:16" x14ac:dyDescent="0.2">
      <c r="A139" t="s">
        <v>311</v>
      </c>
      <c r="B139" s="7">
        <f>Farm_results!$B$8</f>
        <v>2.9402999900665541</v>
      </c>
      <c r="C139" s="7">
        <f>Farm_results!$C$8</f>
        <v>3.23</v>
      </c>
      <c r="D139" s="7">
        <f>Farm_results!$D$8</f>
        <v>18.73</v>
      </c>
      <c r="E139" s="7">
        <f>Farm_results!$E$8</f>
        <v>20.96</v>
      </c>
      <c r="F139" s="7">
        <f>Farm_results!$F$8</f>
        <v>2.82</v>
      </c>
      <c r="G139" s="7">
        <f>Farm_results!$G$8</f>
        <v>5.32</v>
      </c>
      <c r="H139" s="7">
        <f>Farm_results!$H$8</f>
        <v>0.37</v>
      </c>
      <c r="I139" s="7">
        <f>Farm_results!$I$8</f>
        <v>1.77</v>
      </c>
      <c r="J139" s="7">
        <f>Farm_results!$J$8</f>
        <v>0.41</v>
      </c>
      <c r="K139" s="7">
        <f>Farm_results!$K$8</f>
        <v>0.82</v>
      </c>
      <c r="L139" s="7">
        <f>Farm_results!$L$8</f>
        <v>1.0900000000000001</v>
      </c>
      <c r="M139" s="7">
        <f>Farm_results!$M$8</f>
        <v>4.66</v>
      </c>
      <c r="N139" s="7">
        <f>Farm_results!$N$8</f>
        <v>0.43</v>
      </c>
      <c r="O139" s="8">
        <f>Farm_results!$O$8</f>
        <v>0.91030959444784953</v>
      </c>
      <c r="P139" s="8">
        <f>Farm_results!$P$8</f>
        <v>0.15698344848193027</v>
      </c>
    </row>
    <row r="140" spans="1:16" x14ac:dyDescent="0.2">
      <c r="A140" t="s">
        <v>312</v>
      </c>
      <c r="B140" s="7">
        <f>Farm_results!$B$9</f>
        <v>1.155590874474355</v>
      </c>
      <c r="C140" s="7">
        <f>Farm_results!$C$9</f>
        <v>11.35</v>
      </c>
      <c r="D140" s="7">
        <f>Farm_results!$D$9</f>
        <v>45.73</v>
      </c>
      <c r="E140" s="7">
        <f>Farm_results!$E$9</f>
        <v>37.79</v>
      </c>
      <c r="F140" s="7">
        <f>Farm_results!$F$9</f>
        <v>12.31</v>
      </c>
      <c r="G140" s="7">
        <f>Farm_results!$G$9</f>
        <v>5.59</v>
      </c>
      <c r="H140" s="7">
        <f>Farm_results!$H$9</f>
        <v>0.3</v>
      </c>
      <c r="I140" s="7">
        <f>Farm_results!$I$9</f>
        <v>1.34</v>
      </c>
      <c r="J140" s="7">
        <f>Farm_results!$J$9</f>
        <v>0.65</v>
      </c>
      <c r="K140" s="7">
        <f>Farm_results!$K$9</f>
        <v>2.37</v>
      </c>
      <c r="L140" s="7">
        <f>Farm_results!$L$9</f>
        <v>5.47</v>
      </c>
      <c r="M140" s="7">
        <f>Farm_results!$M$9</f>
        <v>29.75</v>
      </c>
      <c r="N140" s="7">
        <f>Farm_results!$N$9</f>
        <v>1.59</v>
      </c>
      <c r="O140" s="8">
        <f>Farm_results!$O$9</f>
        <v>0.10181417396249824</v>
      </c>
      <c r="P140" s="8">
        <f>Farm_results!$P$9</f>
        <v>2.5269863863423468E-2</v>
      </c>
    </row>
    <row r="141" spans="1:16" x14ac:dyDescent="0.2">
      <c r="A141" t="s">
        <v>384</v>
      </c>
      <c r="B141" s="7">
        <f>Farm_results!$B$10</f>
        <v>1.2151915499486772</v>
      </c>
      <c r="C141" s="7">
        <f>Farm_results!$C$10</f>
        <v>2.44</v>
      </c>
      <c r="D141" s="7">
        <f>Farm_results!$D$10</f>
        <v>37.24</v>
      </c>
      <c r="E141" s="7">
        <f>Farm_results!$E$10</f>
        <v>12.01</v>
      </c>
      <c r="F141" s="7">
        <f>Farm_results!$F$10</f>
        <v>1.98</v>
      </c>
      <c r="G141" s="7">
        <f>Farm_results!$G$10</f>
        <v>1.5</v>
      </c>
      <c r="H141" s="7">
        <f>Farm_results!$H$10</f>
        <v>0.37</v>
      </c>
      <c r="I141" s="7">
        <f>Farm_results!$I$10</f>
        <v>1.69</v>
      </c>
      <c r="J141" s="7">
        <f>Farm_results!$J$10</f>
        <v>0.63</v>
      </c>
      <c r="K141" s="7">
        <f>Farm_results!$K$10</f>
        <v>0.19</v>
      </c>
      <c r="L141" s="7">
        <f>Farm_results!$L$10</f>
        <v>0.28999999999999998</v>
      </c>
      <c r="M141" s="7">
        <f>Farm_results!$M$10</f>
        <v>2.0499999999999998</v>
      </c>
      <c r="N141" s="7">
        <f>Farm_results!$N$10</f>
        <v>0.36</v>
      </c>
      <c r="O141" s="8">
        <f>Farm_results!$O$10</f>
        <v>0.49802932374945785</v>
      </c>
      <c r="P141" s="8">
        <f>Farm_results!$P$10</f>
        <v>0.47608669707394774</v>
      </c>
    </row>
    <row r="142" spans="1:16" x14ac:dyDescent="0.2">
      <c r="A142" t="s">
        <v>314</v>
      </c>
      <c r="B142" s="7">
        <f>Farm_results!$B$11</f>
        <v>0.24502499917221285</v>
      </c>
      <c r="C142" s="7">
        <f>Farm_results!$C$11</f>
        <v>1.96</v>
      </c>
      <c r="D142" s="7">
        <f>Farm_results!$D$11</f>
        <v>14.6</v>
      </c>
      <c r="E142" s="7">
        <f>Farm_results!$E$11</f>
        <v>3.46</v>
      </c>
      <c r="F142" s="7">
        <f>Farm_results!$F$11</f>
        <v>0.06</v>
      </c>
      <c r="G142" s="7">
        <f>Farm_results!$G$11</f>
        <v>0.23</v>
      </c>
      <c r="H142" s="7">
        <f>Farm_results!$H$11</f>
        <v>2.87</v>
      </c>
      <c r="I142" s="7">
        <f>Farm_results!$I$11</f>
        <v>0.75</v>
      </c>
      <c r="J142" s="7">
        <f>Farm_results!$J$11</f>
        <v>0.03</v>
      </c>
      <c r="K142" s="7">
        <f>Farm_results!$K$11</f>
        <v>0.1</v>
      </c>
      <c r="L142" s="7">
        <f>Farm_results!$L$11</f>
        <v>0.53</v>
      </c>
      <c r="M142" s="7">
        <f>Farm_results!$M$11</f>
        <v>0.75</v>
      </c>
      <c r="N142" s="7">
        <f>Farm_results!$N$11</f>
        <v>0.01</v>
      </c>
      <c r="O142" s="8">
        <f>Farm_results!$O$11</f>
        <v>0.12501275467970044</v>
      </c>
      <c r="P142" s="8">
        <f>Farm_results!$P$11</f>
        <v>0.24485474157898221</v>
      </c>
    </row>
    <row r="143" spans="1:16" x14ac:dyDescent="0.2">
      <c r="A143" t="s">
        <v>315</v>
      </c>
      <c r="B143" s="7">
        <f>Farm_results!$B$12</f>
        <v>0.65560743021754242</v>
      </c>
      <c r="C143" s="7">
        <f>Farm_results!$C$12</f>
        <v>4.6900000000000004</v>
      </c>
      <c r="D143" s="7">
        <f>Farm_results!$D$12</f>
        <v>49.07</v>
      </c>
      <c r="E143" s="7">
        <f>Farm_results!$E$12</f>
        <v>11.02</v>
      </c>
      <c r="F143" s="7">
        <f>Farm_results!$F$12</f>
        <v>3.21</v>
      </c>
      <c r="G143" s="7">
        <f>Farm_results!$G$12</f>
        <v>2.58</v>
      </c>
      <c r="H143" s="7">
        <f>Farm_results!$H$12</f>
        <v>0.38</v>
      </c>
      <c r="I143" s="7">
        <f>Farm_results!$I$12</f>
        <v>2.71</v>
      </c>
      <c r="J143" s="7">
        <f>Farm_results!$J$12</f>
        <v>0.68</v>
      </c>
      <c r="K143" s="7">
        <f>Farm_results!$K$12</f>
        <v>1.21</v>
      </c>
      <c r="L143" s="7">
        <f>Farm_results!$L$12</f>
        <v>1.78</v>
      </c>
      <c r="M143" s="7">
        <f>Farm_results!$M$12</f>
        <v>9.6199999999999992</v>
      </c>
      <c r="N143" s="7">
        <f>Farm_results!$N$12</f>
        <v>3.08</v>
      </c>
      <c r="O143" s="8">
        <f>Farm_results!$O$12</f>
        <v>0.13978836465192801</v>
      </c>
      <c r="P143" s="8">
        <f>Farm_results!$P$12</f>
        <v>0.19493004669460665</v>
      </c>
    </row>
    <row r="144" spans="1:16" x14ac:dyDescent="0.2">
      <c r="A144" t="s">
        <v>385</v>
      </c>
      <c r="B144" s="7">
        <f>Farm_results!$B$13</f>
        <v>1.1721466176616668</v>
      </c>
      <c r="C144" s="7">
        <f>Farm_results!$C$13</f>
        <v>2.5099999999999998</v>
      </c>
      <c r="D144" s="7">
        <f>Farm_results!$D$13</f>
        <v>38.520000000000003</v>
      </c>
      <c r="E144" s="7">
        <f>Farm_results!$E$13</f>
        <v>11.67</v>
      </c>
      <c r="F144" s="7">
        <f>Farm_results!$F$13</f>
        <v>2.13</v>
      </c>
      <c r="G144" s="7">
        <f>Farm_results!$G$13</f>
        <v>0.85</v>
      </c>
      <c r="H144" s="7">
        <f>Farm_results!$H$13</f>
        <v>0.17</v>
      </c>
      <c r="I144" s="7">
        <f>Farm_results!$I$13</f>
        <v>2.14</v>
      </c>
      <c r="J144" s="7">
        <f>Farm_results!$J$13</f>
        <v>0.46</v>
      </c>
      <c r="K144" s="7">
        <f>Farm_results!$K$13</f>
        <v>0.17</v>
      </c>
      <c r="L144" s="7">
        <f>Farm_results!$L$13</f>
        <v>0.43</v>
      </c>
      <c r="M144" s="7">
        <f>Farm_results!$M$13</f>
        <v>1.87</v>
      </c>
      <c r="N144" s="7">
        <f>Farm_results!$N$13</f>
        <v>0.53</v>
      </c>
      <c r="O144" s="8">
        <f>Farm_results!$O$13</f>
        <v>0.46699068432735735</v>
      </c>
      <c r="P144" s="8">
        <f>Farm_results!$P$13</f>
        <v>0.4439628576158442</v>
      </c>
    </row>
    <row r="145" spans="1:16" x14ac:dyDescent="0.2">
      <c r="A145" t="s">
        <v>123</v>
      </c>
      <c r="O145" s="8">
        <f>Farm_results!O15</f>
        <v>0.39865952598008969</v>
      </c>
      <c r="P145" s="8">
        <f>Farm_results!P15</f>
        <v>0.17729533274721254</v>
      </c>
    </row>
    <row r="146" spans="1:16" x14ac:dyDescent="0.2">
      <c r="A146" s="11" t="s">
        <v>386</v>
      </c>
    </row>
    <row r="149" spans="1:16" x14ac:dyDescent="0.2">
      <c r="A149" s="3" t="s">
        <v>387</v>
      </c>
    </row>
    <row r="150" spans="1:16" ht="32" x14ac:dyDescent="0.2">
      <c r="A150" s="6" t="s">
        <v>134</v>
      </c>
      <c r="B150" s="6" t="s">
        <v>233</v>
      </c>
      <c r="C150" s="6" t="s">
        <v>388</v>
      </c>
      <c r="D150" s="6" t="s">
        <v>389</v>
      </c>
      <c r="E150" s="6" t="s">
        <v>236</v>
      </c>
      <c r="F150" s="6" t="s">
        <v>237</v>
      </c>
    </row>
    <row r="151" spans="1:16" x14ac:dyDescent="0.2">
      <c r="A151" t="s">
        <v>142</v>
      </c>
      <c r="B151" s="8">
        <f>Processing_index!$S$15</f>
        <v>0.17392266674442028</v>
      </c>
      <c r="C151" s="8">
        <f>Orientations!$C$4</f>
        <v>0.44929589351123933</v>
      </c>
      <c r="D151" s="8">
        <f>Orientations!$D$4</f>
        <v>0.61202871704517614</v>
      </c>
      <c r="E151" s="8">
        <f>Processing_index!$S$4</f>
        <v>0.51339238027652934</v>
      </c>
      <c r="F151" s="8">
        <f>Orientations!$F$4</f>
        <v>0.27537322676681908</v>
      </c>
    </row>
    <row r="152" spans="1:16" x14ac:dyDescent="0.2">
      <c r="A152" t="s">
        <v>156</v>
      </c>
      <c r="B152" s="8">
        <f>Processing_index!$T$15</f>
        <v>0.23417283141449302</v>
      </c>
      <c r="C152" s="8">
        <f>Orientations!$C$5</f>
        <v>0.35687569851184336</v>
      </c>
      <c r="D152" s="8">
        <f>Orientations!$D$5</f>
        <v>0.40090031866066783</v>
      </c>
      <c r="E152" s="8">
        <f>Processing_index!$T$4</f>
        <v>0.4082114636891348</v>
      </c>
      <c r="F152" s="8">
        <f>Orientations!$F$5</f>
        <v>0.12270286709735034</v>
      </c>
    </row>
    <row r="153" spans="1:16" x14ac:dyDescent="0.2">
      <c r="A153" t="s">
        <v>163</v>
      </c>
      <c r="B153" s="8">
        <f>Processing_index!$U$15</f>
        <v>0.36886287936698087</v>
      </c>
      <c r="C153" s="8">
        <f>Orientations!$C$6</f>
        <v>0.5107672202523813</v>
      </c>
      <c r="D153" s="8">
        <f>Orientations!$D$6</f>
        <v>0.68466426391631163</v>
      </c>
      <c r="E153" s="8">
        <f>Processing_index!$U$4</f>
        <v>0.53168491473873092</v>
      </c>
      <c r="F153" s="8">
        <f>Orientations!$F$6</f>
        <v>0.14190434088540044</v>
      </c>
    </row>
    <row r="154" spans="1:16" x14ac:dyDescent="0.2">
      <c r="A154" t="s">
        <v>174</v>
      </c>
      <c r="B154" s="8">
        <f>Processing_index!$V$15</f>
        <v>0.35816637363864023</v>
      </c>
      <c r="C154" s="8">
        <f>Orientations!$C$7</f>
        <v>0.65898503208923942</v>
      </c>
      <c r="D154" s="8">
        <f>Orientations!$D$7</f>
        <v>0.84436186622398612</v>
      </c>
      <c r="E154" s="8">
        <f>Processing_index!$V$4</f>
        <v>0.71734079231025216</v>
      </c>
      <c r="F154" s="8">
        <f>Orientations!$F$7</f>
        <v>0.30081865845059919</v>
      </c>
    </row>
    <row r="155" spans="1:16" x14ac:dyDescent="0.2">
      <c r="A155" t="s">
        <v>183</v>
      </c>
      <c r="B155" s="8">
        <f>Processing_index!$W$15</f>
        <v>0.31068594867071531</v>
      </c>
      <c r="C155" s="8">
        <f>Orientations!$C$8</f>
        <v>0.55546197857454915</v>
      </c>
      <c r="D155" s="8">
        <f>Orientations!$D$8</f>
        <v>0.76788110025810929</v>
      </c>
      <c r="E155" s="8">
        <f>Processing_index!$W$4</f>
        <v>0.62060694747090672</v>
      </c>
      <c r="F155" s="8">
        <f>Orientations!$F$8</f>
        <v>0.24477602990383385</v>
      </c>
    </row>
    <row r="156" spans="1:16" x14ac:dyDescent="0.2">
      <c r="A156" t="s">
        <v>194</v>
      </c>
      <c r="B156" s="8">
        <f>Processing_index!$X$15</f>
        <v>0.2878422920892495</v>
      </c>
      <c r="C156" s="8">
        <f>Orientations!$C$9</f>
        <v>0.2983635480054091</v>
      </c>
      <c r="D156" s="8">
        <f>Orientations!$D$9</f>
        <v>0.56763426395462402</v>
      </c>
      <c r="E156" s="8">
        <f>Processing_index!$X$4</f>
        <v>0.43058584065810235</v>
      </c>
      <c r="F156" s="8">
        <f>Orientations!$F$9</f>
        <v>1.05212559161596E-2</v>
      </c>
    </row>
    <row r="157" spans="1:16" x14ac:dyDescent="0.2">
      <c r="A157" t="s">
        <v>199</v>
      </c>
      <c r="B157" s="8">
        <f>Processing_index!$Y$15</f>
        <v>0.23855688878459491</v>
      </c>
      <c r="C157" s="8">
        <f>Orientations!$C$10</f>
        <v>0.43925493791498488</v>
      </c>
      <c r="D157" s="8">
        <f>Orientations!$D$10</f>
        <v>0.6492367460432088</v>
      </c>
      <c r="E157" s="8">
        <f>Processing_index!$Y$4</f>
        <v>0.55128567581699917</v>
      </c>
      <c r="F157" s="8">
        <f>Orientations!$F$10</f>
        <v>0.20069804913038997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57"/>
  <sheetViews>
    <sheetView workbookViewId="0"/>
  </sheetViews>
  <sheetFormatPr baseColWidth="10" defaultColWidth="8.83203125" defaultRowHeight="15" x14ac:dyDescent="0.2"/>
  <cols>
    <col min="1" max="1" width="42" customWidth="1"/>
    <col min="2" max="2" width="30" customWidth="1"/>
    <col min="3" max="17" width="12" customWidth="1"/>
  </cols>
  <sheetData>
    <row r="1" spans="1:3" ht="17" x14ac:dyDescent="0.2">
      <c r="A1" s="1" t="s">
        <v>390</v>
      </c>
    </row>
    <row r="3" spans="1:3" x14ac:dyDescent="0.2">
      <c r="A3" s="3" t="s">
        <v>391</v>
      </c>
    </row>
    <row r="4" spans="1:3" ht="16" x14ac:dyDescent="0.2">
      <c r="A4" s="6" t="s">
        <v>392</v>
      </c>
      <c r="B4" s="6" t="s">
        <v>393</v>
      </c>
      <c r="C4" s="6" t="s">
        <v>394</v>
      </c>
    </row>
    <row r="5" spans="1:3" x14ac:dyDescent="0.2">
      <c r="A5" t="s">
        <v>395</v>
      </c>
      <c r="B5" t="s">
        <v>71</v>
      </c>
      <c r="C5" t="s">
        <v>142</v>
      </c>
    </row>
    <row r="6" spans="1:3" x14ac:dyDescent="0.2">
      <c r="A6" t="s">
        <v>396</v>
      </c>
      <c r="B6" t="s">
        <v>73</v>
      </c>
      <c r="C6" t="s">
        <v>174</v>
      </c>
    </row>
    <row r="7" spans="1:3" x14ac:dyDescent="0.2">
      <c r="A7" t="s">
        <v>397</v>
      </c>
      <c r="B7" t="s">
        <v>77</v>
      </c>
      <c r="C7" t="s">
        <v>174</v>
      </c>
    </row>
    <row r="8" spans="1:3" x14ac:dyDescent="0.2">
      <c r="A8" t="s">
        <v>398</v>
      </c>
      <c r="B8" t="s">
        <v>79</v>
      </c>
      <c r="C8" t="s">
        <v>174</v>
      </c>
    </row>
    <row r="9" spans="1:3" x14ac:dyDescent="0.2">
      <c r="A9" t="s">
        <v>399</v>
      </c>
      <c r="B9" t="s">
        <v>81</v>
      </c>
      <c r="C9" t="s">
        <v>174</v>
      </c>
    </row>
    <row r="10" spans="1:3" x14ac:dyDescent="0.2">
      <c r="A10" t="s">
        <v>400</v>
      </c>
      <c r="B10" t="s">
        <v>83</v>
      </c>
      <c r="C10" t="s">
        <v>174</v>
      </c>
    </row>
    <row r="11" spans="1:3" x14ac:dyDescent="0.2">
      <c r="A11" t="s">
        <v>401</v>
      </c>
      <c r="B11" t="s">
        <v>86</v>
      </c>
      <c r="C11" t="s">
        <v>174</v>
      </c>
    </row>
    <row r="12" spans="1:3" x14ac:dyDescent="0.2">
      <c r="A12" t="s">
        <v>402</v>
      </c>
      <c r="B12" t="s">
        <v>89</v>
      </c>
      <c r="C12" t="s">
        <v>174</v>
      </c>
    </row>
    <row r="13" spans="1:3" x14ac:dyDescent="0.2">
      <c r="A13" t="s">
        <v>403</v>
      </c>
      <c r="B13" t="s">
        <v>91</v>
      </c>
      <c r="C13" t="s">
        <v>174</v>
      </c>
    </row>
    <row r="14" spans="1:3" x14ac:dyDescent="0.2">
      <c r="A14" t="s">
        <v>404</v>
      </c>
      <c r="B14" t="s">
        <v>93</v>
      </c>
      <c r="C14" t="s">
        <v>174</v>
      </c>
    </row>
    <row r="17" spans="1:8" x14ac:dyDescent="0.2">
      <c r="A17" s="3" t="s">
        <v>405</v>
      </c>
    </row>
    <row r="18" spans="1:8" ht="32" x14ac:dyDescent="0.2">
      <c r="A18" s="6" t="s">
        <v>406</v>
      </c>
      <c r="B18" s="6" t="s">
        <v>407</v>
      </c>
      <c r="C18" s="6" t="s">
        <v>408</v>
      </c>
      <c r="D18" s="6" t="s">
        <v>409</v>
      </c>
      <c r="E18" s="6" t="s">
        <v>410</v>
      </c>
      <c r="F18" s="6" t="s">
        <v>411</v>
      </c>
      <c r="G18" s="6" t="s">
        <v>412</v>
      </c>
      <c r="H18" s="6" t="s">
        <v>413</v>
      </c>
    </row>
    <row r="19" spans="1:8" x14ac:dyDescent="0.2">
      <c r="A19" t="s">
        <v>142</v>
      </c>
      <c r="B19" t="s">
        <v>141</v>
      </c>
      <c r="C19">
        <f>Processing_data!$E$4</f>
        <v>2025</v>
      </c>
      <c r="D19">
        <f>Processing_data!$F$4</f>
        <v>2025</v>
      </c>
      <c r="E19" s="7">
        <f>Processing_data!$AH$4</f>
        <v>45.06</v>
      </c>
      <c r="F19" s="7">
        <f>Processing_data!$AJ$4</f>
        <v>66.42</v>
      </c>
      <c r="G19" t="str">
        <f>Processing_data!$AK$4</f>
        <v>ES</v>
      </c>
      <c r="H19" s="7">
        <f>Processing_data!$AI$4</f>
        <v>20.399999999999999</v>
      </c>
    </row>
    <row r="20" spans="1:8" x14ac:dyDescent="0.2">
      <c r="A20" t="s">
        <v>142</v>
      </c>
      <c r="B20" t="s">
        <v>414</v>
      </c>
      <c r="C20">
        <f>Processing_data!$E$5</f>
        <v>2021</v>
      </c>
      <c r="D20">
        <f>Processing_data!$F$5</f>
        <v>2022</v>
      </c>
      <c r="E20" s="7">
        <f>Processing_data!$AH$5</f>
        <v>9.68</v>
      </c>
      <c r="F20" s="7">
        <f>Processing_data!$AJ$5</f>
        <v>21.2</v>
      </c>
      <c r="G20" t="str">
        <f>Processing_data!$AK$5</f>
        <v>IT</v>
      </c>
      <c r="H20" s="7">
        <f>Processing_data!$AI$5</f>
        <v>2.2000000000000002</v>
      </c>
    </row>
    <row r="21" spans="1:8" x14ac:dyDescent="0.2">
      <c r="A21" t="s">
        <v>142</v>
      </c>
      <c r="B21" t="s">
        <v>415</v>
      </c>
      <c r="C21">
        <f>Processing_data!$E$6</f>
        <v>2024</v>
      </c>
      <c r="D21">
        <f>Processing_data!$F$6</f>
        <v>2023</v>
      </c>
      <c r="E21" s="7">
        <f>Processing_data!$AH$6</f>
        <v>26.68</v>
      </c>
      <c r="F21" s="7">
        <f>Processing_data!$AJ$6</f>
        <v>65.849999999999994</v>
      </c>
      <c r="G21" t="str">
        <f>Processing_data!$AK$6</f>
        <v>IE</v>
      </c>
      <c r="H21" s="7">
        <f>Processing_data!$AI$6</f>
        <v>7.3</v>
      </c>
    </row>
    <row r="22" spans="1:8" x14ac:dyDescent="0.2">
      <c r="A22" t="s">
        <v>156</v>
      </c>
      <c r="B22" t="s">
        <v>416</v>
      </c>
      <c r="C22">
        <f>Processing_data!$E$7</f>
        <v>2024</v>
      </c>
      <c r="D22">
        <f>Processing_data!$F$7</f>
        <v>2025</v>
      </c>
      <c r="E22" s="7">
        <f>Processing_data!$AH$7</f>
        <v>7.1</v>
      </c>
      <c r="F22" s="7">
        <f>Processing_data!$AJ$7</f>
        <v>18.079999999999998</v>
      </c>
      <c r="G22" t="str">
        <f>Processing_data!$AK$7</f>
        <v>IE</v>
      </c>
      <c r="H22" s="7">
        <f>Processing_data!$AI$7</f>
        <v>5</v>
      </c>
    </row>
    <row r="23" spans="1:8" x14ac:dyDescent="0.2">
      <c r="A23" t="s">
        <v>156</v>
      </c>
      <c r="B23" t="s">
        <v>417</v>
      </c>
      <c r="C23">
        <f>Processing_data!$E$8</f>
        <v>2024</v>
      </c>
      <c r="D23">
        <f>Processing_data!$F$8</f>
        <v>2025</v>
      </c>
      <c r="E23" s="7">
        <f>Processing_data!$AH$8</f>
        <v>14.36</v>
      </c>
      <c r="F23" s="7">
        <f>Processing_data!$AJ$8</f>
        <v>33.89</v>
      </c>
      <c r="G23" t="str">
        <f>Processing_data!$AK$8</f>
        <v>IE</v>
      </c>
      <c r="H23" s="7">
        <f>Processing_data!$AI$8</f>
        <v>6.5</v>
      </c>
    </row>
    <row r="24" spans="1:8" x14ac:dyDescent="0.2">
      <c r="A24" t="s">
        <v>163</v>
      </c>
      <c r="B24" t="s">
        <v>418</v>
      </c>
      <c r="C24">
        <f>Processing_data!$E$9</f>
        <v>2023</v>
      </c>
      <c r="D24">
        <f>Processing_data!$F$9</f>
        <v>2025</v>
      </c>
      <c r="E24" s="7">
        <f>Processing_data!$AH$9</f>
        <v>23.16</v>
      </c>
      <c r="F24" s="7">
        <f>Processing_data!$AJ$9</f>
        <v>52.82</v>
      </c>
      <c r="G24" t="str">
        <f>Processing_data!$AK$9</f>
        <v>SI</v>
      </c>
      <c r="H24" s="7">
        <f>Processing_data!$AI$9</f>
        <v>31.6</v>
      </c>
    </row>
    <row r="25" spans="1:8" x14ac:dyDescent="0.2">
      <c r="A25" t="s">
        <v>163</v>
      </c>
      <c r="B25" t="s">
        <v>419</v>
      </c>
      <c r="C25">
        <f>Processing_data!$E$10</f>
        <v>2025</v>
      </c>
      <c r="D25">
        <f>Processing_data!$F$10</f>
        <v>2025</v>
      </c>
      <c r="E25" s="7">
        <f>Processing_data!$AH$10</f>
        <v>37.729999999999997</v>
      </c>
      <c r="F25" s="7">
        <f>Processing_data!$AJ$10</f>
        <v>66.58</v>
      </c>
      <c r="G25" t="str">
        <f>Processing_data!$AK$10</f>
        <v>LT</v>
      </c>
      <c r="H25" s="7">
        <f>Processing_data!$AI$10</f>
        <v>21.3</v>
      </c>
    </row>
    <row r="26" spans="1:8" x14ac:dyDescent="0.2">
      <c r="A26" t="s">
        <v>163</v>
      </c>
      <c r="B26" t="s">
        <v>420</v>
      </c>
      <c r="C26">
        <f>Processing_data!$E$11</f>
        <v>2021</v>
      </c>
      <c r="D26">
        <f>Processing_data!$F$11</f>
        <v>2022</v>
      </c>
      <c r="E26" s="7">
        <f>Processing_data!$AH$11</f>
        <v>29.43</v>
      </c>
      <c r="F26" s="7">
        <f>Processing_data!$AJ$11</f>
        <v>49.89</v>
      </c>
      <c r="G26" t="str">
        <f>Processing_data!$AK$11</f>
        <v>SE</v>
      </c>
      <c r="H26" s="7">
        <f>Processing_data!$AI$11</f>
        <v>9.4</v>
      </c>
    </row>
    <row r="27" spans="1:8" x14ac:dyDescent="0.2">
      <c r="A27" t="s">
        <v>174</v>
      </c>
      <c r="B27" t="s">
        <v>421</v>
      </c>
      <c r="C27">
        <f>Processing_data!$E$12</f>
        <v>2024</v>
      </c>
      <c r="D27">
        <f>Processing_data!$F$12</f>
        <v>2023</v>
      </c>
      <c r="E27" s="7">
        <f>Processing_data!$AH$12</f>
        <v>82.47</v>
      </c>
      <c r="F27" s="7">
        <f>Processing_data!$AJ$12</f>
        <v>95.81</v>
      </c>
      <c r="G27" t="str">
        <f>Processing_data!$AK$12</f>
        <v>SI</v>
      </c>
      <c r="H27" s="7">
        <f>Processing_data!$AI$12</f>
        <v>45.9</v>
      </c>
    </row>
    <row r="28" spans="1:8" x14ac:dyDescent="0.2">
      <c r="A28" t="s">
        <v>174</v>
      </c>
      <c r="B28" t="s">
        <v>422</v>
      </c>
      <c r="C28">
        <f>Processing_data!$E$13</f>
        <v>2025</v>
      </c>
      <c r="D28">
        <f>Processing_data!$F$13</f>
        <v>2025</v>
      </c>
      <c r="E28" s="7">
        <f>Processing_data!$AH$13</f>
        <v>40.880000000000003</v>
      </c>
      <c r="F28" s="7">
        <f>Processing_data!$AJ$13</f>
        <v>71.23</v>
      </c>
      <c r="G28" t="str">
        <f>Processing_data!$AK$13</f>
        <v>IE</v>
      </c>
      <c r="H28" s="7">
        <f>Processing_data!$AI$13</f>
        <v>16.899999999999999</v>
      </c>
    </row>
    <row r="29" spans="1:8" x14ac:dyDescent="0.2">
      <c r="A29" t="s">
        <v>183</v>
      </c>
      <c r="B29" t="s">
        <v>423</v>
      </c>
      <c r="C29">
        <f>Processing_data!$E$14</f>
        <v>2025</v>
      </c>
      <c r="D29">
        <f>Processing_data!$F$14</f>
        <v>2025</v>
      </c>
      <c r="E29" s="7">
        <f>Processing_data!$AH$14</f>
        <v>34.159999999999997</v>
      </c>
      <c r="F29" s="7">
        <f>Processing_data!$AJ$14</f>
        <v>62.2</v>
      </c>
      <c r="G29" t="str">
        <f>Processing_data!$AK$14</f>
        <v>NL</v>
      </c>
      <c r="H29" s="7">
        <f>Processing_data!$AI$14</f>
        <v>16.8</v>
      </c>
    </row>
    <row r="30" spans="1:8" x14ac:dyDescent="0.2">
      <c r="A30" t="s">
        <v>183</v>
      </c>
      <c r="B30" t="s">
        <v>424</v>
      </c>
      <c r="C30">
        <f>Processing_data!$E$15</f>
        <v>2025</v>
      </c>
      <c r="D30">
        <f>Processing_data!$F$15</f>
        <v>2025</v>
      </c>
      <c r="E30" s="7">
        <f>Processing_data!$AH$15</f>
        <v>71.83</v>
      </c>
      <c r="F30" s="7">
        <f>Processing_data!$AJ$15</f>
        <v>97.47</v>
      </c>
      <c r="G30" t="str">
        <f>Processing_data!$AK$15</f>
        <v>DK</v>
      </c>
      <c r="H30" s="7">
        <f>Processing_data!$AI$15</f>
        <v>43</v>
      </c>
    </row>
    <row r="31" spans="1:8" x14ac:dyDescent="0.2">
      <c r="A31" t="s">
        <v>183</v>
      </c>
      <c r="B31" t="s">
        <v>191</v>
      </c>
      <c r="C31">
        <f>Processing_data!$E$16</f>
        <v>2025</v>
      </c>
      <c r="D31">
        <f>Processing_data!$F$16</f>
        <v>2025</v>
      </c>
      <c r="E31" s="7">
        <f>Processing_data!$AH$16</f>
        <v>17.989999999999998</v>
      </c>
      <c r="F31" s="7">
        <f>Processing_data!$AJ$16</f>
        <v>31.25</v>
      </c>
      <c r="G31" t="str">
        <f>Processing_data!$AK$16</f>
        <v>NL</v>
      </c>
      <c r="H31" s="7">
        <f>Processing_data!$AI$16</f>
        <v>6.9</v>
      </c>
    </row>
    <row r="32" spans="1:8" x14ac:dyDescent="0.2">
      <c r="A32" t="s">
        <v>332</v>
      </c>
      <c r="B32" t="s">
        <v>425</v>
      </c>
      <c r="C32">
        <f>Processing_data!$E$17</f>
        <v>2023</v>
      </c>
      <c r="D32">
        <f>Processing_data!$F$17</f>
        <v>2025</v>
      </c>
      <c r="E32" s="7">
        <f>Processing_data!$AH$17</f>
        <v>41.5</v>
      </c>
      <c r="F32" s="7">
        <f>Processing_data!$AJ$17</f>
        <v>97.92</v>
      </c>
      <c r="G32" t="str">
        <f>Processing_data!$AK$17</f>
        <v>IT</v>
      </c>
      <c r="H32" s="7">
        <f>Processing_data!$AI$17</f>
        <v>37.799999999999997</v>
      </c>
    </row>
    <row r="33" spans="1:8" x14ac:dyDescent="0.2">
      <c r="A33" t="s">
        <v>332</v>
      </c>
      <c r="B33" t="s">
        <v>426</v>
      </c>
      <c r="C33">
        <f>Processing_data!$E$18</f>
        <v>2025</v>
      </c>
      <c r="D33">
        <f>Processing_data!$F$18</f>
        <v>2025</v>
      </c>
      <c r="E33" s="7">
        <f>Processing_data!$AH$18</f>
        <v>15.22</v>
      </c>
      <c r="F33" s="7">
        <f>Processing_data!$AJ$18</f>
        <v>34.799999999999997</v>
      </c>
      <c r="G33" t="str">
        <f>Processing_data!$AK$18</f>
        <v>NL</v>
      </c>
      <c r="H33" s="7">
        <f>Processing_data!$AI$18</f>
        <v>6.6</v>
      </c>
    </row>
    <row r="34" spans="1:8" x14ac:dyDescent="0.2">
      <c r="A34" t="s">
        <v>335</v>
      </c>
      <c r="B34" t="s">
        <v>427</v>
      </c>
      <c r="C34">
        <f>Processing_data!$E$19</f>
        <v>2025</v>
      </c>
      <c r="D34">
        <f>Processing_data!$F$19</f>
        <v>2025</v>
      </c>
      <c r="E34" s="7">
        <f>Processing_data!$AH$19</f>
        <v>12.47</v>
      </c>
      <c r="F34" s="7">
        <f>Processing_data!$AJ$19</f>
        <v>26.48</v>
      </c>
      <c r="G34" t="str">
        <f>Processing_data!$AK$19</f>
        <v>DK</v>
      </c>
      <c r="H34" s="7">
        <f>Processing_data!$AI$19</f>
        <v>5</v>
      </c>
    </row>
    <row r="35" spans="1:8" x14ac:dyDescent="0.2">
      <c r="A35" t="s">
        <v>335</v>
      </c>
      <c r="B35" t="s">
        <v>428</v>
      </c>
      <c r="C35">
        <f>Processing_data!$E$20</f>
        <v>2025</v>
      </c>
      <c r="D35">
        <f>Processing_data!$F$20</f>
        <v>2025</v>
      </c>
      <c r="E35" s="7">
        <f>Processing_data!$AH$20</f>
        <v>60.91</v>
      </c>
      <c r="F35" s="7">
        <f>Processing_data!$AJ$20</f>
        <v>96.43</v>
      </c>
      <c r="G35" t="str">
        <f>Processing_data!$AK$20</f>
        <v>FI</v>
      </c>
      <c r="H35" s="7">
        <f>Processing_data!$AI$20</f>
        <v>27.8</v>
      </c>
    </row>
    <row r="38" spans="1:8" x14ac:dyDescent="0.2">
      <c r="A38" s="3" t="s">
        <v>429</v>
      </c>
    </row>
    <row r="39" spans="1:8" ht="32" x14ac:dyDescent="0.2">
      <c r="A39" s="6" t="s">
        <v>430</v>
      </c>
      <c r="B39" s="6" t="s">
        <v>431</v>
      </c>
      <c r="C39" s="6" t="s">
        <v>432</v>
      </c>
      <c r="D39" s="6" t="s">
        <v>433</v>
      </c>
      <c r="E39" s="6" t="s">
        <v>434</v>
      </c>
      <c r="F39" s="6" t="s">
        <v>435</v>
      </c>
      <c r="G39" s="6" t="s">
        <v>436</v>
      </c>
    </row>
    <row r="40" spans="1:8" x14ac:dyDescent="0.2">
      <c r="A40" t="s">
        <v>410</v>
      </c>
      <c r="B40" s="8">
        <f>Farm_results!L20</f>
        <v>0.19388920616790403</v>
      </c>
      <c r="C40" s="8">
        <f>Farm_results!M20</f>
        <v>0.18794053538900332</v>
      </c>
      <c r="D40" s="8">
        <f>Farm_results!N20</f>
        <v>0.20826534035928326</v>
      </c>
      <c r="E40" s="8">
        <f>Farm_results!O20</f>
        <v>0.16253452917615341</v>
      </c>
      <c r="F40" s="8">
        <f>Farm_results!L38</f>
        <v>0.56785195936139332</v>
      </c>
      <c r="G40" s="8">
        <f>Farm_results!M38</f>
        <v>0.43790743953054562</v>
      </c>
    </row>
    <row r="41" spans="1:8" x14ac:dyDescent="0.2">
      <c r="A41" t="s">
        <v>437</v>
      </c>
      <c r="B41" s="8">
        <f>Farm_results!L21</f>
        <v>0.52141633352370076</v>
      </c>
      <c r="C41" s="8">
        <f>Farm_results!M21</f>
        <v>0.62033320082260102</v>
      </c>
      <c r="D41" s="8">
        <f>Farm_results!N21</f>
        <v>0.67408038671936621</v>
      </c>
      <c r="E41" s="8">
        <f>Farm_results!O21</f>
        <v>0.55314921845164455</v>
      </c>
      <c r="F41" s="8">
        <f>Farm_results!L39</f>
        <v>0.76306240928882441</v>
      </c>
      <c r="G41" s="8">
        <f>Farm_results!M39</f>
        <v>0.64922558066725444</v>
      </c>
    </row>
    <row r="42" spans="1:8" x14ac:dyDescent="0.2">
      <c r="A42" t="s">
        <v>438</v>
      </c>
      <c r="B42" s="8">
        <f>Farm_results!L22</f>
        <v>3.8263849229011992E-2</v>
      </c>
      <c r="C42" s="8">
        <f>Farm_results!M22</f>
        <v>0.27370908029071411</v>
      </c>
      <c r="D42" s="8">
        <f>Farm_results!N22</f>
        <v>0.41524550955841627</v>
      </c>
      <c r="E42" s="8">
        <f>Farm_results!O22</f>
        <v>9.6788543706086444E-2</v>
      </c>
      <c r="F42" s="8">
        <f>Farm_results!L40</f>
        <v>0.1308055152394775</v>
      </c>
      <c r="G42" s="8">
        <f>Farm_results!M40</f>
        <v>0.52781448821603849</v>
      </c>
    </row>
    <row r="43" spans="1:8" x14ac:dyDescent="0.2">
      <c r="A43" t="s">
        <v>439</v>
      </c>
      <c r="B43" s="8">
        <f>Farm_results!L23</f>
        <v>7.481439177612792E-2</v>
      </c>
      <c r="C43" s="8">
        <f>Farm_results!M23</f>
        <v>0.13718698554227746</v>
      </c>
      <c r="D43" s="8">
        <f>Farm_results!N23</f>
        <v>0.19383273842410248</v>
      </c>
      <c r="E43" s="8">
        <f>Farm_results!O23</f>
        <v>6.6379794439996143E-2</v>
      </c>
      <c r="F43" s="8">
        <f>Farm_results!L41</f>
        <v>0.26904934687953558</v>
      </c>
      <c r="G43" s="8">
        <f>Farm_results!M41</f>
        <v>0.42470551418146518</v>
      </c>
    </row>
    <row r="44" spans="1:8" x14ac:dyDescent="0.2">
      <c r="A44" t="s">
        <v>440</v>
      </c>
      <c r="B44" s="8">
        <f>Farm_results!L24</f>
        <v>9.3089663049685883E-2</v>
      </c>
      <c r="C44" s="8">
        <f>Farm_results!M24</f>
        <v>4.3282179296232272E-2</v>
      </c>
      <c r="D44" s="8">
        <f>Farm_results!N24</f>
        <v>2.1402008510195279E-2</v>
      </c>
      <c r="E44" s="8">
        <f>Farm_results!O24</f>
        <v>7.063239277877853E-2</v>
      </c>
      <c r="F44" s="8">
        <f>Farm_results!L42</f>
        <v>0.31240928882438318</v>
      </c>
      <c r="G44" s="8">
        <f>Farm_results!M42</f>
        <v>0.26950376051218883</v>
      </c>
    </row>
    <row r="45" spans="1:8" x14ac:dyDescent="0.2">
      <c r="A45" t="s">
        <v>441</v>
      </c>
      <c r="B45" s="8">
        <f>Farm_results!L25</f>
        <v>9.7372929754426032E-2</v>
      </c>
      <c r="C45" s="8">
        <f>Farm_results!M25</f>
        <v>8.8517320889616488E-2</v>
      </c>
      <c r="D45" s="8">
        <f>Farm_results!N25</f>
        <v>7.8022409736336562E-2</v>
      </c>
      <c r="E45" s="8">
        <f>Farm_results!O25</f>
        <v>0.1016359598312164</v>
      </c>
      <c r="F45" s="8">
        <f>Farm_results!L43</f>
        <v>0.26505805515239478</v>
      </c>
      <c r="G45" s="8">
        <f>Farm_results!M43</f>
        <v>0.23637143371141894</v>
      </c>
    </row>
    <row r="46" spans="1:8" x14ac:dyDescent="0.2">
      <c r="A46" t="s">
        <v>442</v>
      </c>
      <c r="B46" s="8">
        <f>Farm_results!L26</f>
        <v>3.740719588806396E-2</v>
      </c>
      <c r="C46" s="8">
        <f>Farm_results!M26</f>
        <v>2.3344453863937905E-2</v>
      </c>
      <c r="D46" s="8">
        <f>Farm_results!N26</f>
        <v>2.2448923415103107E-2</v>
      </c>
      <c r="E46" s="8">
        <f>Farm_results!O26</f>
        <v>2.4463866924981412E-2</v>
      </c>
      <c r="F46" s="8">
        <f>Farm_results!L44</f>
        <v>0.13461538461538461</v>
      </c>
      <c r="G46" s="8">
        <f>Farm_results!M44</f>
        <v>8.0005926575464958E-2</v>
      </c>
    </row>
    <row r="47" spans="1:8" x14ac:dyDescent="0.2">
      <c r="A47" t="s">
        <v>443</v>
      </c>
      <c r="B47" s="8">
        <f>Farm_results!L27</f>
        <v>1.3135351227869787E-2</v>
      </c>
      <c r="C47" s="8">
        <f>Farm_results!M27</f>
        <v>2.6155335208355057E-2</v>
      </c>
      <c r="D47" s="8">
        <f>Farm_results!N27</f>
        <v>3.1959057871371092E-2</v>
      </c>
      <c r="E47" s="8">
        <f>Farm_results!O27</f>
        <v>1.8900681879585008E-2</v>
      </c>
      <c r="F47" s="8">
        <f>Farm_results!L45</f>
        <v>9.2525399129172708E-2</v>
      </c>
      <c r="G47" s="8">
        <f>Farm_results!M45</f>
        <v>0.18792916838041099</v>
      </c>
    </row>
    <row r="48" spans="1:8" x14ac:dyDescent="0.2">
      <c r="A48" t="s">
        <v>444</v>
      </c>
      <c r="B48" s="8">
        <f>Farm_results!L28</f>
        <v>0.13363792118789261</v>
      </c>
      <c r="C48" s="8">
        <f>Farm_results!M28</f>
        <v>8.4483645780173006E-2</v>
      </c>
      <c r="D48" s="8">
        <f>Farm_results!N28</f>
        <v>0.12118609374587448</v>
      </c>
      <c r="E48" s="8">
        <f>Farm_results!O28</f>
        <v>3.8605585823046157E-2</v>
      </c>
      <c r="F48" s="8">
        <f>Farm_results!L46</f>
        <v>0.74056603773584906</v>
      </c>
      <c r="G48" s="8">
        <f>Farm_results!M46</f>
        <v>0.36073413625453088</v>
      </c>
    </row>
    <row r="49" spans="1:8" x14ac:dyDescent="0.2">
      <c r="A49" t="s">
        <v>445</v>
      </c>
      <c r="B49" s="8">
        <f>Farm_results!L29</f>
        <v>0.22929754426042256</v>
      </c>
      <c r="C49" s="8">
        <f>Farm_results!M29</f>
        <v>0.27834861569662184</v>
      </c>
      <c r="D49" s="8">
        <f>Farm_results!N29</f>
        <v>0.36788838089920811</v>
      </c>
      <c r="E49" s="8">
        <f>Farm_results!O29</f>
        <v>0.16642390919338912</v>
      </c>
      <c r="F49" s="8">
        <f>Farm_results!L47</f>
        <v>0.62753991291727151</v>
      </c>
      <c r="G49" s="8">
        <f>Farm_results!M47</f>
        <v>0.56791290582637133</v>
      </c>
    </row>
    <row r="50" spans="1:8" x14ac:dyDescent="0.2">
      <c r="A50" t="s">
        <v>446</v>
      </c>
      <c r="B50" s="8">
        <f>Farm_results!L30</f>
        <v>1.5990862364363222E-2</v>
      </c>
      <c r="C50" s="8">
        <f>Farm_results!M30</f>
        <v>3.3407780417722084E-2</v>
      </c>
      <c r="D50" s="8">
        <f>Farm_results!N30</f>
        <v>2.6026748143805168E-2</v>
      </c>
      <c r="E50" s="8">
        <f>Farm_results!O30</f>
        <v>4.2634070760118235E-2</v>
      </c>
      <c r="F50" s="8">
        <f>Farm_results!L48</f>
        <v>9.3432510885341089E-2</v>
      </c>
      <c r="G50" s="8">
        <f>Farm_results!M48</f>
        <v>0.15470900306664689</v>
      </c>
    </row>
    <row r="51" spans="1:8" x14ac:dyDescent="0.2">
      <c r="A51" t="s">
        <v>413</v>
      </c>
      <c r="B51" s="8">
        <f>Farm_results!L31</f>
        <v>0.11279841017968492</v>
      </c>
      <c r="C51" s="8">
        <f>Farm_results!M31</f>
        <v>7.6610544884335025E-2</v>
      </c>
      <c r="D51" s="8">
        <f>Farm_results!N31</f>
        <v>9.8300077805464958E-2</v>
      </c>
      <c r="E51" s="8">
        <f>Farm_results!O31</f>
        <v>4.9498628732922628E-2</v>
      </c>
      <c r="F51" s="8">
        <f>Farm_results!L49</f>
        <v>7.1665463071345539E-2</v>
      </c>
      <c r="G51" s="8">
        <f>Farm_results!M49</f>
        <v>9.9375947750951585E-2</v>
      </c>
    </row>
    <row r="54" spans="1:8" x14ac:dyDescent="0.2">
      <c r="A54" s="3" t="s">
        <v>447</v>
      </c>
    </row>
    <row r="55" spans="1:8" ht="32" x14ac:dyDescent="0.2">
      <c r="A55" s="6" t="s">
        <v>430</v>
      </c>
      <c r="B55" s="6" t="s">
        <v>142</v>
      </c>
      <c r="C55" s="6" t="s">
        <v>156</v>
      </c>
      <c r="D55" s="6" t="s">
        <v>163</v>
      </c>
      <c r="E55" s="6" t="s">
        <v>174</v>
      </c>
      <c r="F55" s="6" t="s">
        <v>183</v>
      </c>
      <c r="G55" s="6" t="s">
        <v>448</v>
      </c>
      <c r="H55" s="6" t="s">
        <v>449</v>
      </c>
    </row>
    <row r="56" spans="1:8" x14ac:dyDescent="0.2">
      <c r="A56" t="s">
        <v>410</v>
      </c>
      <c r="B56" s="8">
        <f>Processing_index!$S$4</f>
        <v>0.51339238027652934</v>
      </c>
      <c r="C56" s="8">
        <f>Processing_index!$T$4</f>
        <v>0.4082114636891348</v>
      </c>
      <c r="D56" s="8">
        <f>Processing_index!$U$4</f>
        <v>0.53168491473873092</v>
      </c>
      <c r="E56" s="8">
        <f>Processing_index!$V$4</f>
        <v>0.71734079231025216</v>
      </c>
      <c r="F56" s="8">
        <f>Processing_index!$W$4</f>
        <v>0.62060694747090672</v>
      </c>
      <c r="G56" s="9">
        <f>Processing_index!$Z$4</f>
        <v>0.55824729969711073</v>
      </c>
      <c r="H56" t="str">
        <f>Processing_index!$AB$4</f>
        <v>L1</v>
      </c>
    </row>
    <row r="57" spans="1:8" x14ac:dyDescent="0.2">
      <c r="A57" t="s">
        <v>437</v>
      </c>
      <c r="B57" s="8">
        <f>Processing_index!$S$5</f>
        <v>0.4802273934251276</v>
      </c>
      <c r="C57" s="8">
        <f>Processing_index!$T$5</f>
        <v>0.37323274871591328</v>
      </c>
      <c r="D57" s="8">
        <f>Processing_index!$U$5</f>
        <v>0.59271296132636042</v>
      </c>
      <c r="E57" s="8">
        <f>Processing_index!$V$5</f>
        <v>0.72525286406218681</v>
      </c>
      <c r="F57" s="8">
        <f>Processing_index!$W$5</f>
        <v>0.63948188465937417</v>
      </c>
      <c r="G57" s="9">
        <f>Processing_index!$Z$5</f>
        <v>0.56218157043779249</v>
      </c>
      <c r="H57" t="str">
        <f>Processing_index!$AB$5</f>
        <v>L1</v>
      </c>
    </row>
    <row r="58" spans="1:8" x14ac:dyDescent="0.2">
      <c r="A58" t="s">
        <v>443</v>
      </c>
      <c r="B58" s="8">
        <f>Processing_index!$S$11</f>
        <v>0.69463420725364811</v>
      </c>
      <c r="C58" s="8">
        <f>Processing_index!$T$11</f>
        <v>0.39037289108176643</v>
      </c>
      <c r="D58" s="8">
        <f>Processing_index!$U$11</f>
        <v>0.75697314098589785</v>
      </c>
      <c r="E58" s="8">
        <f>Processing_index!$V$11</f>
        <v>0.8994049098912259</v>
      </c>
      <c r="F58" s="8">
        <f>Processing_index!$W$11</f>
        <v>0.88061902134286851</v>
      </c>
      <c r="G58" s="9">
        <f>Processing_index!$Z$11</f>
        <v>0.72440083411108147</v>
      </c>
      <c r="H58" t="str">
        <f>Processing_index!$AB$11</f>
        <v>L1</v>
      </c>
    </row>
    <row r="59" spans="1:8" x14ac:dyDescent="0.2">
      <c r="A59" t="s">
        <v>441</v>
      </c>
      <c r="B59" s="8">
        <f>Processing_index!$S$9</f>
        <v>0.56305678509086798</v>
      </c>
      <c r="C59" s="8">
        <f>Processing_index!$T$9</f>
        <v>0.44228904942330344</v>
      </c>
      <c r="D59" s="8">
        <f>Processing_index!$U$9</f>
        <v>0.67117889658153684</v>
      </c>
      <c r="E59" s="8">
        <f>Processing_index!$V$9</f>
        <v>0.72541215670263681</v>
      </c>
      <c r="F59" s="8">
        <f>Processing_index!$W$9</f>
        <v>0.81207893092012473</v>
      </c>
      <c r="G59" s="9">
        <f>Processing_index!$Z$9</f>
        <v>0.64280316374369395</v>
      </c>
      <c r="H59" t="str">
        <f>Processing_index!$AB$9</f>
        <v>L1</v>
      </c>
    </row>
    <row r="60" spans="1:8" x14ac:dyDescent="0.2">
      <c r="A60" t="s">
        <v>445</v>
      </c>
      <c r="B60" s="8">
        <f>Processing_index!$S$13</f>
        <v>0.57839515879101233</v>
      </c>
      <c r="C60" s="8">
        <f>Processing_index!$T$13</f>
        <v>0.37003901547693341</v>
      </c>
      <c r="D60" s="8">
        <f>Processing_index!$U$13</f>
        <v>0.62584075418150009</v>
      </c>
      <c r="E60" s="8">
        <f>Processing_index!$V$13</f>
        <v>0.90826853207809577</v>
      </c>
      <c r="F60" s="8">
        <f>Processing_index!$W$13</f>
        <v>0.61094534851133464</v>
      </c>
      <c r="G60" s="9">
        <f>Processing_index!$Z$13</f>
        <v>0.61869776180777525</v>
      </c>
      <c r="H60" t="str">
        <f>Processing_index!$AB$13</f>
        <v>L1</v>
      </c>
    </row>
    <row r="61" spans="1:8" x14ac:dyDescent="0.2">
      <c r="A61" t="s">
        <v>444</v>
      </c>
      <c r="B61" s="8">
        <f>Processing_index!$S$12</f>
        <v>0.71082122228055045</v>
      </c>
      <c r="C61" s="8">
        <f>Processing_index!$T$12</f>
        <v>0.26817044733481826</v>
      </c>
      <c r="D61" s="8">
        <f>Processing_index!$U$12</f>
        <v>0.5611371100196817</v>
      </c>
      <c r="E61" s="8">
        <f>Processing_index!$V$12</f>
        <v>0.70371201818939955</v>
      </c>
      <c r="F61" s="8">
        <f>Processing_index!$W$12</f>
        <v>0.59637572515620552</v>
      </c>
      <c r="G61" s="9">
        <f>Processing_index!$Z$12</f>
        <v>0.56804330459613106</v>
      </c>
      <c r="H61" t="str">
        <f>Processing_index!$AB$12</f>
        <v>L1</v>
      </c>
    </row>
    <row r="62" spans="1:8" x14ac:dyDescent="0.2">
      <c r="A62" t="s">
        <v>438</v>
      </c>
      <c r="B62" s="8">
        <f>Processing_index!$S$6</f>
        <v>0.4430279712764193</v>
      </c>
      <c r="C62" s="8">
        <f>Processing_index!$T$6</f>
        <v>0.62846775225416951</v>
      </c>
      <c r="D62" s="8">
        <f>Processing_index!$U$6</f>
        <v>0.34867747763835871</v>
      </c>
      <c r="E62" s="8">
        <f>Processing_index!$V$6</f>
        <v>0.77338574140818706</v>
      </c>
      <c r="F62" s="8">
        <f>Processing_index!$W$6</f>
        <v>0.52377838567197033</v>
      </c>
      <c r="G62" s="9">
        <f>Processing_index!$Z$6</f>
        <v>0.54346746564982107</v>
      </c>
      <c r="H62" t="str">
        <f>Processing_index!$AB$6</f>
        <v>L2</v>
      </c>
    </row>
    <row r="63" spans="1:8" x14ac:dyDescent="0.2">
      <c r="A63" t="s">
        <v>442</v>
      </c>
      <c r="B63" s="8">
        <f>Processing_index!$S$10</f>
        <v>0.35071163000096101</v>
      </c>
      <c r="C63" s="8">
        <f>Processing_index!$T$10</f>
        <v>0.23499113477492253</v>
      </c>
      <c r="D63" s="8">
        <f>Processing_index!$U$10</f>
        <v>0.60004571329783574</v>
      </c>
      <c r="E63" s="8">
        <f>Processing_index!$V$10</f>
        <v>0.55285895708554278</v>
      </c>
      <c r="F63" s="8">
        <f>Processing_index!$W$10</f>
        <v>0.62284485524938493</v>
      </c>
      <c r="G63" s="9">
        <f>Processing_index!$Z$10</f>
        <v>0.47229045808172937</v>
      </c>
      <c r="H63" t="str">
        <f>Processing_index!$AB$10</f>
        <v>L1</v>
      </c>
    </row>
    <row r="64" spans="1:8" x14ac:dyDescent="0.2">
      <c r="A64" t="s">
        <v>439</v>
      </c>
      <c r="B64" s="8">
        <f>Processing_index!$S$7</f>
        <v>0.29262275048702674</v>
      </c>
      <c r="C64" s="8">
        <f>Processing_index!$T$7</f>
        <v>0.29587345968346318</v>
      </c>
      <c r="D64" s="8">
        <f>Processing_index!$U$7</f>
        <v>0.5332085800536488</v>
      </c>
      <c r="E64" s="8">
        <f>Processing_index!$V$7</f>
        <v>0.60598341167382808</v>
      </c>
      <c r="F64" s="8">
        <f>Processing_index!$W$7</f>
        <v>0.47884894822063589</v>
      </c>
      <c r="G64" s="9">
        <f>Processing_index!$Z$7</f>
        <v>0.44130743002372058</v>
      </c>
      <c r="H64" t="str">
        <f>Processing_index!$AB$7</f>
        <v>C</v>
      </c>
    </row>
    <row r="65" spans="1:8" x14ac:dyDescent="0.2">
      <c r="A65" t="s">
        <v>440</v>
      </c>
      <c r="B65" s="8">
        <f>Processing_index!$S$8</f>
        <v>0.44050748201577455</v>
      </c>
      <c r="C65" s="8">
        <f>Processing_index!$T$8</f>
        <v>0.24148819253858789</v>
      </c>
      <c r="D65" s="8">
        <f>Processing_index!$U$8</f>
        <v>0.28762351537264413</v>
      </c>
      <c r="E65" s="8">
        <f>Processing_index!$V$8</f>
        <v>0.55737050241713504</v>
      </c>
      <c r="F65" s="8">
        <f>Processing_index!$W$8</f>
        <v>0.37810403578378637</v>
      </c>
      <c r="G65" s="9">
        <f>Processing_index!$Z$8</f>
        <v>0.38101874562558558</v>
      </c>
      <c r="H65" t="str">
        <f>Processing_index!$AB$8</f>
        <v>L1</v>
      </c>
    </row>
    <row r="66" spans="1:8" x14ac:dyDescent="0.2">
      <c r="A66" t="s">
        <v>413</v>
      </c>
      <c r="B66" s="8">
        <f>Processing_index!$S$15</f>
        <v>0.17392266674442028</v>
      </c>
      <c r="C66" s="8">
        <f>Processing_index!$T$15</f>
        <v>0.23417283141449302</v>
      </c>
      <c r="D66" s="8">
        <f>Processing_index!$U$15</f>
        <v>0.36886287936698087</v>
      </c>
      <c r="E66" s="8">
        <f>Processing_index!$V$15</f>
        <v>0.35816637363864023</v>
      </c>
      <c r="F66" s="8">
        <f>Processing_index!$W$15</f>
        <v>0.31068594867071531</v>
      </c>
      <c r="G66" s="9">
        <f>Processing_index!$Z$15</f>
        <v>0.28916213996704992</v>
      </c>
      <c r="H66" t="str">
        <f>Processing_index!$AB$15</f>
        <v>C</v>
      </c>
    </row>
    <row r="67" spans="1:8" x14ac:dyDescent="0.2">
      <c r="A67" t="s">
        <v>446</v>
      </c>
      <c r="B67" s="8">
        <f>Processing_index!$S$14</f>
        <v>0.21832676937677528</v>
      </c>
      <c r="C67" s="8">
        <f>Processing_index!$T$14</f>
        <v>0.10718623435529315</v>
      </c>
      <c r="D67" s="8">
        <f>Processing_index!$U$14</f>
        <v>0.28034164118021382</v>
      </c>
      <c r="E67" s="8">
        <f>Processing_index!$V$14</f>
        <v>0.45739639864411208</v>
      </c>
      <c r="F67" s="8">
        <f>Processing_index!$W$14</f>
        <v>0.30622596278339304</v>
      </c>
      <c r="G67" s="9">
        <f>Processing_index!$Z$14</f>
        <v>0.27389540126795742</v>
      </c>
      <c r="H67" t="str">
        <f>Processing_index!$AB$14</f>
        <v>L1</v>
      </c>
    </row>
    <row r="70" spans="1:8" x14ac:dyDescent="0.2">
      <c r="A70" s="3" t="s">
        <v>450</v>
      </c>
    </row>
    <row r="71" spans="1:8" ht="16" x14ac:dyDescent="0.2">
      <c r="A71" s="6" t="s">
        <v>430</v>
      </c>
      <c r="B71" s="6" t="s">
        <v>448</v>
      </c>
      <c r="C71" s="6" t="s">
        <v>451</v>
      </c>
      <c r="D71" s="6" t="s">
        <v>212</v>
      </c>
      <c r="E71" s="6" t="s">
        <v>452</v>
      </c>
      <c r="F71" s="6" t="s">
        <v>194</v>
      </c>
      <c r="G71" s="6" t="s">
        <v>199</v>
      </c>
    </row>
    <row r="72" spans="1:8" x14ac:dyDescent="0.2">
      <c r="A72" t="s">
        <v>410</v>
      </c>
      <c r="B72" s="9">
        <f>Processing_index!$Z$4</f>
        <v>0.55824729969711073</v>
      </c>
      <c r="C72" s="9">
        <f>Processing_index!$AC$4</f>
        <v>1</v>
      </c>
      <c r="D72" s="9">
        <f>Processing_index!$AD$4</f>
        <v>0.55824729969711073</v>
      </c>
      <c r="E72" s="10">
        <f>Processing_index!$AE$4</f>
        <v>3</v>
      </c>
      <c r="F72" s="8">
        <f>Processing_index!$X$4</f>
        <v>0.43058584065810235</v>
      </c>
      <c r="G72" s="8">
        <f>Processing_index!$Y$4</f>
        <v>0.55128567581699917</v>
      </c>
    </row>
    <row r="73" spans="1:8" x14ac:dyDescent="0.2">
      <c r="A73" t="s">
        <v>437</v>
      </c>
      <c r="B73" s="9">
        <f>Processing_index!$Z$5</f>
        <v>0.56218157043779249</v>
      </c>
      <c r="C73" s="9">
        <f>Processing_index!$AC$5</f>
        <v>0.99929309948636535</v>
      </c>
      <c r="D73" s="9">
        <f>Processing_index!$AD$5</f>
        <v>0.56178416399689413</v>
      </c>
      <c r="E73" s="10">
        <f>Processing_index!$AE$5</f>
        <v>3</v>
      </c>
      <c r="F73" s="8">
        <f>Processing_index!$X$5</f>
        <v>0.29964538257831874</v>
      </c>
      <c r="G73" s="8">
        <f>Processing_index!$Y$5</f>
        <v>0.60950122547138275</v>
      </c>
    </row>
    <row r="74" spans="1:8" x14ac:dyDescent="0.2">
      <c r="A74" t="s">
        <v>443</v>
      </c>
      <c r="B74" s="9">
        <f>Processing_index!$Z$11</f>
        <v>0.72440083411108147</v>
      </c>
      <c r="C74" s="9">
        <f>Processing_index!$AC$11</f>
        <v>1</v>
      </c>
      <c r="D74" s="9">
        <f>Processing_index!$AD$11</f>
        <v>0.72440083411108147</v>
      </c>
      <c r="E74" s="10">
        <f>Processing_index!$AE$11</f>
        <v>4</v>
      </c>
      <c r="F74" s="8">
        <f>Processing_index!$X$11</f>
        <v>0.66585777270678392</v>
      </c>
      <c r="G74" s="8">
        <f>Processing_index!$Y$11</f>
        <v>0.7202997854211044</v>
      </c>
    </row>
    <row r="75" spans="1:8" x14ac:dyDescent="0.2">
      <c r="A75" t="s">
        <v>441</v>
      </c>
      <c r="B75" s="9">
        <f>Processing_index!$Z$9</f>
        <v>0.64280316374369395</v>
      </c>
      <c r="C75" s="9">
        <f>Processing_index!$AC$9</f>
        <v>1</v>
      </c>
      <c r="D75" s="9">
        <f>Processing_index!$AD$9</f>
        <v>0.64280316374369395</v>
      </c>
      <c r="E75" s="10">
        <f>Processing_index!$AE$9</f>
        <v>4</v>
      </c>
      <c r="F75" s="8">
        <f>Processing_index!$X$9</f>
        <v>0.37345827698895651</v>
      </c>
      <c r="G75" s="8">
        <f>Processing_index!$Y$9</f>
        <v>0.5465447675363968</v>
      </c>
    </row>
    <row r="76" spans="1:8" x14ac:dyDescent="0.2">
      <c r="A76" t="s">
        <v>445</v>
      </c>
      <c r="B76" s="9">
        <f>Processing_index!$Z$13</f>
        <v>0.61869776180777525</v>
      </c>
      <c r="C76" s="9">
        <f>Processing_index!$AC$13</f>
        <v>0.99801560619077334</v>
      </c>
      <c r="D76" s="9">
        <f>Processing_index!$AD$13</f>
        <v>0.61747002179946153</v>
      </c>
      <c r="E76" s="10">
        <f>Processing_index!$AE$13</f>
        <v>4</v>
      </c>
      <c r="F76" s="8">
        <f>Processing_index!$X$13</f>
        <v>0.66358674216813163</v>
      </c>
      <c r="G76" s="8">
        <f>Processing_index!$Y$13</f>
        <v>0.6808656851721252</v>
      </c>
    </row>
    <row r="77" spans="1:8" x14ac:dyDescent="0.2">
      <c r="A77" t="s">
        <v>444</v>
      </c>
      <c r="B77" s="9">
        <f>Processing_index!$Z$12</f>
        <v>0.56804330459613106</v>
      </c>
      <c r="C77" s="9">
        <f>Processing_index!$AC$12</f>
        <v>0.95726817893392735</v>
      </c>
      <c r="D77" s="9">
        <f>Processing_index!$AD$12</f>
        <v>0.54376977974634855</v>
      </c>
      <c r="E77" s="10">
        <f>Processing_index!$AE$12</f>
        <v>3</v>
      </c>
      <c r="F77" s="8">
        <f>Processing_index!$X$12</f>
        <v>0.45310316655397798</v>
      </c>
      <c r="G77" s="8">
        <f>Processing_index!$Y$12</f>
        <v>0.55491585869310822</v>
      </c>
    </row>
    <row r="78" spans="1:8" x14ac:dyDescent="0.2">
      <c r="A78" t="s">
        <v>438</v>
      </c>
      <c r="B78" s="9">
        <f>Processing_index!$Z$6</f>
        <v>0.54346746564982107</v>
      </c>
      <c r="C78" s="9">
        <f>Processing_index!$AC$6</f>
        <v>0.98947099105534353</v>
      </c>
      <c r="D78" s="9">
        <f>Processing_index!$AD$6</f>
        <v>0.53774529184286435</v>
      </c>
      <c r="E78" s="10">
        <f>Processing_index!$AE$6</f>
        <v>3</v>
      </c>
      <c r="F78" s="8">
        <f>Processing_index!$X$6</f>
        <v>0.22546660187063333</v>
      </c>
      <c r="G78" s="8">
        <f>Processing_index!$Y$6</f>
        <v>0.35240328598018755</v>
      </c>
    </row>
    <row r="79" spans="1:8" x14ac:dyDescent="0.2">
      <c r="A79" t="s">
        <v>442</v>
      </c>
      <c r="B79" s="9">
        <f>Processing_index!$Z$10</f>
        <v>0.47229045808172937</v>
      </c>
      <c r="C79" s="9">
        <f>Processing_index!$AC$10</f>
        <v>0.943996453909969</v>
      </c>
      <c r="D79" s="9">
        <f>Processing_index!$AD$10</f>
        <v>0.44584051764466737</v>
      </c>
      <c r="E79" s="10">
        <f>Processing_index!$AE$10</f>
        <v>3</v>
      </c>
      <c r="F79" s="8">
        <f>Processing_index!$X$10</f>
        <v>0.26695437514086096</v>
      </c>
      <c r="G79" s="8">
        <f>Processing_index!$Y$10</f>
        <v>0.47123032439353807</v>
      </c>
    </row>
    <row r="80" spans="1:8" x14ac:dyDescent="0.2">
      <c r="A80" t="s">
        <v>439</v>
      </c>
      <c r="B80" s="9">
        <f>Processing_index!$Z$7</f>
        <v>0.44130743002372058</v>
      </c>
      <c r="C80" s="9">
        <f>Processing_index!$AC$7</f>
        <v>0.96704910019481072</v>
      </c>
      <c r="D80" s="9">
        <f>Processing_index!$AD$7</f>
        <v>0.4267659531137234</v>
      </c>
      <c r="E80" s="10">
        <f>Processing_index!$AE$7</f>
        <v>3</v>
      </c>
      <c r="F80" s="8">
        <f>Processing_index!$X$7</f>
        <v>0.24793004845616406</v>
      </c>
      <c r="G80" s="8">
        <f>Processing_index!$Y$7</f>
        <v>0.37847028259310556</v>
      </c>
    </row>
    <row r="81" spans="1:8" x14ac:dyDescent="0.2">
      <c r="A81" t="s">
        <v>440</v>
      </c>
      <c r="B81" s="9">
        <f>Processing_index!$Z$8</f>
        <v>0.38101874562558558</v>
      </c>
      <c r="C81" s="9">
        <f>Processing_index!$AC$8</f>
        <v>0.94659527701543511</v>
      </c>
      <c r="D81" s="9">
        <f>Processing_index!$AD$8</f>
        <v>0.36067054506352481</v>
      </c>
      <c r="E81" s="10">
        <f>Processing_index!$AE$8</f>
        <v>2</v>
      </c>
      <c r="F81" s="8">
        <f>Processing_index!$X$8</f>
        <v>0.30522770171286906</v>
      </c>
      <c r="G81" s="8">
        <f>Processing_index!$Y$8</f>
        <v>0.21868357069433142</v>
      </c>
    </row>
    <row r="82" spans="1:8" x14ac:dyDescent="0.2">
      <c r="A82" t="s">
        <v>413</v>
      </c>
      <c r="B82" s="9">
        <f>Processing_index!$Z$15</f>
        <v>0.28916213996704992</v>
      </c>
      <c r="C82" s="9">
        <f>Processing_index!$AC$15</f>
        <v>0.91956906669776806</v>
      </c>
      <c r="D82" s="9">
        <f>Processing_index!$AD$15</f>
        <v>0.26590455917382949</v>
      </c>
      <c r="E82" s="10">
        <f>Processing_index!$AE$15</f>
        <v>2</v>
      </c>
      <c r="F82" s="8">
        <f>Processing_index!$X$15</f>
        <v>0.2878422920892495</v>
      </c>
      <c r="G82" s="8">
        <f>Processing_index!$Y$15</f>
        <v>0.23855688878459491</v>
      </c>
    </row>
    <row r="83" spans="1:8" x14ac:dyDescent="0.2">
      <c r="A83" t="s">
        <v>446</v>
      </c>
      <c r="B83" s="9">
        <f>Processing_index!$Z$14</f>
        <v>0.27389540126795742</v>
      </c>
      <c r="C83" s="9">
        <f>Processing_index!$AC$14</f>
        <v>0.89287449374211725</v>
      </c>
      <c r="D83" s="9">
        <f>Processing_index!$AD$14</f>
        <v>0.24455421774542155</v>
      </c>
      <c r="E83" s="10">
        <f>Processing_index!$AE$14</f>
        <v>2</v>
      </c>
      <c r="F83" s="8">
        <f>Processing_index!$X$14</f>
        <v>0.19041617365336938</v>
      </c>
      <c r="G83" s="8">
        <f>Processing_index!$Y$14</f>
        <v>0.23627724257503446</v>
      </c>
    </row>
    <row r="86" spans="1:8" x14ac:dyDescent="0.2">
      <c r="A86" s="3" t="s">
        <v>453</v>
      </c>
    </row>
    <row r="87" spans="1:8" ht="32" x14ac:dyDescent="0.2">
      <c r="A87" s="6" t="s">
        <v>454</v>
      </c>
      <c r="B87" s="6" t="s">
        <v>430</v>
      </c>
      <c r="C87" s="6" t="s">
        <v>212</v>
      </c>
      <c r="D87" s="6" t="s">
        <v>455</v>
      </c>
      <c r="E87" s="6" t="s">
        <v>456</v>
      </c>
      <c r="F87" s="6" t="s">
        <v>457</v>
      </c>
      <c r="G87" s="6" t="s">
        <v>458</v>
      </c>
      <c r="H87" s="6" t="s">
        <v>459</v>
      </c>
    </row>
    <row r="88" spans="1:8" x14ac:dyDescent="0.2">
      <c r="A88" s="10">
        <f>Processing_index!$AF$11</f>
        <v>1</v>
      </c>
      <c r="B88" t="s">
        <v>443</v>
      </c>
      <c r="C88" s="9">
        <f>Processing_index!$AD$11</f>
        <v>0.72440083411108147</v>
      </c>
      <c r="D88" s="9">
        <f>TOPSIS!$I$28</f>
        <v>0.69943489684542004</v>
      </c>
      <c r="E88" s="10">
        <f>TOPSIS!$J$28</f>
        <v>1</v>
      </c>
      <c r="F88" s="10">
        <f>TOPSIS!$J$46</f>
        <v>1</v>
      </c>
      <c r="G88" s="9">
        <f>Normalisation_check!$AD$11</f>
        <v>0.66124333334158703</v>
      </c>
      <c r="H88" s="10">
        <f>Normalisation_check!$AF$11</f>
        <v>1</v>
      </c>
    </row>
    <row r="89" spans="1:8" x14ac:dyDescent="0.2">
      <c r="A89" s="10">
        <f>Processing_index!$AF$9</f>
        <v>2</v>
      </c>
      <c r="B89" t="s">
        <v>441</v>
      </c>
      <c r="C89" s="9">
        <f>Processing_index!$AD$9</f>
        <v>0.64280316374369395</v>
      </c>
      <c r="D89" s="9">
        <f>TOPSIS!$I$26</f>
        <v>0.695291399599263</v>
      </c>
      <c r="E89" s="10">
        <f>TOPSIS!$J$26</f>
        <v>2</v>
      </c>
      <c r="F89" s="10">
        <f>TOPSIS!$J$44</f>
        <v>2</v>
      </c>
      <c r="G89" s="9">
        <f>Normalisation_check!$AD$9</f>
        <v>0.55216946940040379</v>
      </c>
      <c r="H89" s="10">
        <f>Normalisation_check!$AF$9</f>
        <v>2</v>
      </c>
    </row>
    <row r="90" spans="1:8" x14ac:dyDescent="0.2">
      <c r="A90" s="10">
        <f>Processing_index!$AF$13</f>
        <v>3</v>
      </c>
      <c r="B90" t="s">
        <v>445</v>
      </c>
      <c r="C90" s="9">
        <f>Processing_index!$AD$13</f>
        <v>0.61747002179946153</v>
      </c>
      <c r="D90" s="9">
        <f>TOPSIS!$I$30</f>
        <v>0.59654143024684603</v>
      </c>
      <c r="E90" s="10">
        <f>TOPSIS!$J$30</f>
        <v>4</v>
      </c>
      <c r="F90" s="10">
        <f>TOPSIS!$J$48</f>
        <v>3</v>
      </c>
      <c r="G90" s="9">
        <f>Normalisation_check!$AD$13</f>
        <v>0.50559579191504</v>
      </c>
      <c r="H90" s="10">
        <f>Normalisation_check!$AF$13</f>
        <v>3</v>
      </c>
    </row>
    <row r="91" spans="1:8" x14ac:dyDescent="0.2">
      <c r="A91" s="10">
        <f>Processing_index!$AF$12</f>
        <v>4</v>
      </c>
      <c r="B91" t="s">
        <v>444</v>
      </c>
      <c r="C91" s="9">
        <f>Processing_index!$AD$12</f>
        <v>0.54376977974634855</v>
      </c>
      <c r="D91" s="9">
        <f>TOPSIS!$I$29</f>
        <v>0.53345075562072053</v>
      </c>
      <c r="E91" s="10">
        <f>TOPSIS!$J$29</f>
        <v>5</v>
      </c>
      <c r="F91" s="10">
        <f>TOPSIS!$J$47</f>
        <v>5</v>
      </c>
      <c r="G91" s="9">
        <f>Normalisation_check!$AD$12</f>
        <v>0.43379841811903691</v>
      </c>
      <c r="H91" s="10">
        <f>Normalisation_check!$AF$12</f>
        <v>4</v>
      </c>
    </row>
    <row r="92" spans="1:8" x14ac:dyDescent="0.2">
      <c r="A92" s="10">
        <f>Processing_index!$AF$6</f>
        <v>5</v>
      </c>
      <c r="B92" t="s">
        <v>438</v>
      </c>
      <c r="C92" s="9">
        <f>Processing_index!$AD$6</f>
        <v>0.53774529184286435</v>
      </c>
      <c r="D92" s="9">
        <f>TOPSIS!$I$23</f>
        <v>0.66696940546376726</v>
      </c>
      <c r="E92" s="10">
        <f>TOPSIS!$J$23</f>
        <v>3</v>
      </c>
      <c r="F92" s="10">
        <f>TOPSIS!$J$41</f>
        <v>4</v>
      </c>
      <c r="G92" s="9">
        <f>Normalisation_check!$AD$6</f>
        <v>0.38954536698580211</v>
      </c>
      <c r="H92" s="10">
        <f>Normalisation_check!$AF$6</f>
        <v>5</v>
      </c>
    </row>
    <row r="93" spans="1:8" x14ac:dyDescent="0.2">
      <c r="A93" s="10">
        <f>Processing_index!$AF$10</f>
        <v>6</v>
      </c>
      <c r="B93" t="s">
        <v>442</v>
      </c>
      <c r="C93" s="9">
        <f>Processing_index!$AD$10</f>
        <v>0.44584051764466737</v>
      </c>
      <c r="D93" s="9">
        <f>TOPSIS!$I$27</f>
        <v>0.34168822994691922</v>
      </c>
      <c r="E93" s="10">
        <f>TOPSIS!$J$27</f>
        <v>6</v>
      </c>
      <c r="F93" s="10">
        <f>TOPSIS!$J$45</f>
        <v>6</v>
      </c>
      <c r="G93" s="9">
        <f>Normalisation_check!$AD$10</f>
        <v>0.280612753332669</v>
      </c>
      <c r="H93" s="10">
        <f>Normalisation_check!$AF$10</f>
        <v>6</v>
      </c>
    </row>
    <row r="94" spans="1:8" x14ac:dyDescent="0.2">
      <c r="A94" s="10">
        <f>Processing_index!$AF$7</f>
        <v>7</v>
      </c>
      <c r="B94" t="s">
        <v>439</v>
      </c>
      <c r="C94" s="9">
        <f>Processing_index!$AD$7</f>
        <v>0.4267659531137234</v>
      </c>
      <c r="D94" s="9">
        <f>TOPSIS!$I$24</f>
        <v>0.33678314069409521</v>
      </c>
      <c r="E94" s="10">
        <f>TOPSIS!$J$24</f>
        <v>7</v>
      </c>
      <c r="F94" s="10">
        <f>TOPSIS!$J$42</f>
        <v>7</v>
      </c>
      <c r="G94" s="9">
        <f>Normalisation_check!$AD$7</f>
        <v>0.25831403503034828</v>
      </c>
      <c r="H94" s="10">
        <f>Normalisation_check!$AF$7</f>
        <v>7</v>
      </c>
    </row>
    <row r="95" spans="1:8" x14ac:dyDescent="0.2">
      <c r="A95" s="10">
        <f>Processing_index!$AF$8</f>
        <v>8</v>
      </c>
      <c r="B95" t="s">
        <v>440</v>
      </c>
      <c r="C95" s="9">
        <f>Processing_index!$AD$8</f>
        <v>0.36067054506352481</v>
      </c>
      <c r="D95" s="9">
        <f>TOPSIS!$I$25</f>
        <v>0.31415648918588018</v>
      </c>
      <c r="E95" s="10">
        <f>TOPSIS!$J$25</f>
        <v>8</v>
      </c>
      <c r="F95" s="10">
        <f>TOPSIS!$J$43</f>
        <v>8</v>
      </c>
      <c r="G95" s="9">
        <f>Normalisation_check!$AD$8</f>
        <v>0.19937639993655518</v>
      </c>
      <c r="H95" s="10">
        <f>Normalisation_check!$AF$8</f>
        <v>8</v>
      </c>
    </row>
    <row r="96" spans="1:8" x14ac:dyDescent="0.2">
      <c r="A96" s="10">
        <f>Processing_index!$AF$15</f>
        <v>9</v>
      </c>
      <c r="B96" t="s">
        <v>413</v>
      </c>
      <c r="C96" s="9">
        <f>Processing_index!$AD$15</f>
        <v>0.26590455917382949</v>
      </c>
      <c r="D96" s="9">
        <f>TOPSIS!$I$32</f>
        <v>0.17632309536115978</v>
      </c>
      <c r="E96" s="10">
        <f>TOPSIS!$J$32</f>
        <v>9</v>
      </c>
      <c r="F96" s="10">
        <f>TOPSIS!$J$50</f>
        <v>9</v>
      </c>
      <c r="G96" s="9">
        <f>Normalisation_check!$AD$15</f>
        <v>8.1526699327213306E-2</v>
      </c>
      <c r="H96" s="10">
        <f>Normalisation_check!$AF$15</f>
        <v>9</v>
      </c>
    </row>
    <row r="97" spans="1:8" x14ac:dyDescent="0.2">
      <c r="A97" s="10">
        <f>Processing_index!$AF$14</f>
        <v>10</v>
      </c>
      <c r="B97" t="s">
        <v>446</v>
      </c>
      <c r="C97" s="9">
        <f>Processing_index!$AD$14</f>
        <v>0.24455421774542155</v>
      </c>
      <c r="D97" s="9">
        <f>TOPSIS!$I$31</f>
        <v>5.0755853486984956E-2</v>
      </c>
      <c r="E97" s="10">
        <f>TOPSIS!$J$31</f>
        <v>10</v>
      </c>
      <c r="F97" s="10">
        <f>TOPSIS!$J$49</f>
        <v>10</v>
      </c>
      <c r="G97" s="9">
        <f>Normalisation_check!$AD$14</f>
        <v>7.0747706712402769E-2</v>
      </c>
      <c r="H97" s="10">
        <f>Normalisation_check!$AF$14</f>
        <v>10</v>
      </c>
    </row>
    <row r="98" spans="1:8" x14ac:dyDescent="0.2">
      <c r="A98" s="11" t="s">
        <v>460</v>
      </c>
      <c r="B98" s="11" t="s">
        <v>142</v>
      </c>
      <c r="C98" s="11" t="s">
        <v>156</v>
      </c>
      <c r="D98" s="11" t="s">
        <v>163</v>
      </c>
      <c r="E98" s="11" t="s">
        <v>174</v>
      </c>
      <c r="F98" s="11" t="s">
        <v>183</v>
      </c>
    </row>
    <row r="99" spans="1:8" x14ac:dyDescent="0.2">
      <c r="B99" s="9">
        <f>TOPSIS!$B$18</f>
        <v>0.26677544937812547</v>
      </c>
      <c r="C99" s="9">
        <f>TOPSIS!$C$18</f>
        <v>0.27811394220220365</v>
      </c>
      <c r="D99" s="9">
        <f>TOPSIS!$D$18</f>
        <v>0.16703306321860847</v>
      </c>
      <c r="E99" s="9">
        <f>TOPSIS!$E$18</f>
        <v>0.11148960962598704</v>
      </c>
      <c r="F99" s="9">
        <f>TOPSIS!$F$18</f>
        <v>0.17658793557507538</v>
      </c>
    </row>
    <row r="100" spans="1:8" x14ac:dyDescent="0.2">
      <c r="A100" t="s">
        <v>461</v>
      </c>
      <c r="B100" s="9">
        <f>TOPSIS!$B$60</f>
        <v>0.96363636363636362</v>
      </c>
    </row>
    <row r="101" spans="1:8" x14ac:dyDescent="0.2">
      <c r="A101" t="s">
        <v>462</v>
      </c>
      <c r="B101" s="9">
        <f>TOPSIS!$B$61</f>
        <v>0.95697440583233107</v>
      </c>
    </row>
    <row r="102" spans="1:8" x14ac:dyDescent="0.2">
      <c r="A102" t="s">
        <v>463</v>
      </c>
      <c r="B102" s="9">
        <f>TOPSIS!$B$62</f>
        <v>0.98787878787878791</v>
      </c>
    </row>
    <row r="105" spans="1:8" x14ac:dyDescent="0.2">
      <c r="A105" s="3" t="s">
        <v>464</v>
      </c>
    </row>
    <row r="106" spans="1:8" ht="48" x14ac:dyDescent="0.2">
      <c r="A106" s="6" t="s">
        <v>465</v>
      </c>
      <c r="B106" s="6" t="s">
        <v>466</v>
      </c>
      <c r="C106" s="6" t="s">
        <v>467</v>
      </c>
      <c r="D106" s="6" t="s">
        <v>468</v>
      </c>
    </row>
    <row r="107" spans="1:8" x14ac:dyDescent="0.2">
      <c r="A107" t="s">
        <v>469</v>
      </c>
      <c r="B107">
        <f>COUNT(Sensitivity!$E$16,Sensitivity!$G$16,Sensitivity!$I$16,Sensitivity!$K$16,Sensitivity!$M$16,Sensitivity!$O$16)</f>
        <v>6</v>
      </c>
      <c r="C107" s="9">
        <f>MIN(Sensitivity!$E$16,Sensitivity!$G$16,Sensitivity!$I$16,Sensitivity!$K$16,Sensitivity!$M$16,Sensitivity!$O$16)</f>
        <v>0.98787878787878791</v>
      </c>
      <c r="D107" t="s">
        <v>470</v>
      </c>
    </row>
    <row r="108" spans="1:8" x14ac:dyDescent="0.2">
      <c r="A108" t="s">
        <v>471</v>
      </c>
      <c r="B108">
        <f>COUNT(Sensitivity!$E$34,Sensitivity!$G$34,Sensitivity!$I$34,Sensitivity!$K$34,Sensitivity!$M$34)</f>
        <v>5</v>
      </c>
      <c r="C108" s="9">
        <f>MIN(Sensitivity!$E$34,Sensitivity!$G$34,Sensitivity!$I$34,Sensitivity!$K$34,Sensitivity!$M$34)</f>
        <v>1</v>
      </c>
      <c r="D108" t="s">
        <v>472</v>
      </c>
    </row>
    <row r="109" spans="1:8" x14ac:dyDescent="0.2">
      <c r="A109" t="s">
        <v>473</v>
      </c>
      <c r="B109">
        <f>COUNT(Sensitivity!$B$51)</f>
        <v>1</v>
      </c>
      <c r="C109" s="9">
        <f>MIN(Sensitivity!$B$51)</f>
        <v>1</v>
      </c>
      <c r="D109" t="s">
        <v>472</v>
      </c>
    </row>
    <row r="110" spans="1:8" x14ac:dyDescent="0.2">
      <c r="A110" t="s">
        <v>474</v>
      </c>
      <c r="B110">
        <f>COUNT(Sensitivity!$B$84,Sensitivity!$B$99,Sensitivity!$B$114,Sensitivity!$B$129,Sensitivity!$B$144,Sensitivity!$B$159,Sensitivity!$B$174,Sensitivity!$B$189,Sensitivity!$B$204,Sensitivity!$B$219,Sensitivity!$B$234,Sensitivity!$B$249,Sensitivity!$B$264)</f>
        <v>13</v>
      </c>
      <c r="C110" s="9">
        <f>MIN(Sensitivity!$B$84,Sensitivity!$B$99,Sensitivity!$B$114,Sensitivity!$B$129,Sensitivity!$B$144,Sensitivity!$B$159,Sensitivity!$B$174,Sensitivity!$B$189,Sensitivity!$B$204,Sensitivity!$B$219,Sensitivity!$B$234,Sensitivity!$B$249,Sensitivity!$B$264)</f>
        <v>0.97575757575757571</v>
      </c>
      <c r="D110" t="s">
        <v>475</v>
      </c>
    </row>
    <row r="111" spans="1:8" x14ac:dyDescent="0.2">
      <c r="A111" t="s">
        <v>476</v>
      </c>
      <c r="B111">
        <f>COUNT(Sensitivity!$B$288,Sensitivity!$B$303,Sensitivity!$B$318,Sensitivity!$B$333,Sensitivity!$B$348)</f>
        <v>5</v>
      </c>
      <c r="C111" s="9">
        <f>MIN(Sensitivity!$B$288,Sensitivity!$B$303,Sensitivity!$B$318,Sensitivity!$B$333,Sensitivity!$B$348)</f>
        <v>0.96363636363636362</v>
      </c>
      <c r="D111" t="s">
        <v>477</v>
      </c>
    </row>
    <row r="112" spans="1:8" x14ac:dyDescent="0.2">
      <c r="A112" t="s">
        <v>478</v>
      </c>
      <c r="B112">
        <f>COUNT(Sensitivity!$B$367)</f>
        <v>1</v>
      </c>
      <c r="C112" s="9">
        <f>MIN(Sensitivity!$B$367)</f>
        <v>0.98787878787878791</v>
      </c>
      <c r="D112" t="s">
        <v>479</v>
      </c>
    </row>
    <row r="113" spans="1:5" x14ac:dyDescent="0.2">
      <c r="A113" t="s">
        <v>480</v>
      </c>
      <c r="B113">
        <f>COUNT(Sensitivity!$B$385)</f>
        <v>1</v>
      </c>
      <c r="C113" s="9">
        <f>MIN(Sensitivity!$B$385)</f>
        <v>0.98787878787878791</v>
      </c>
      <c r="D113" t="s">
        <v>481</v>
      </c>
    </row>
    <row r="116" spans="1:5" x14ac:dyDescent="0.2">
      <c r="A116" s="3" t="s">
        <v>482</v>
      </c>
    </row>
    <row r="117" spans="1:5" ht="32" x14ac:dyDescent="0.2">
      <c r="A117" s="6" t="s">
        <v>430</v>
      </c>
      <c r="B117" s="6" t="s">
        <v>483</v>
      </c>
      <c r="C117" s="6" t="s">
        <v>484</v>
      </c>
      <c r="D117" s="6" t="s">
        <v>485</v>
      </c>
      <c r="E117" s="6" t="s">
        <v>486</v>
      </c>
    </row>
    <row r="118" spans="1:5" x14ac:dyDescent="0.2">
      <c r="A118" t="s">
        <v>410</v>
      </c>
      <c r="B118" s="8">
        <f>Transition_checks!$B$4</f>
        <v>1</v>
      </c>
      <c r="C118" s="8">
        <f>Transition_checks!$C$4</f>
        <v>1</v>
      </c>
      <c r="D118" s="8">
        <f>Transition_checks!$D$4</f>
        <v>1</v>
      </c>
      <c r="E118" s="7">
        <f>Transition_checks!$K$4</f>
        <v>4.3193975332991634</v>
      </c>
    </row>
    <row r="119" spans="1:5" x14ac:dyDescent="0.2">
      <c r="A119" t="s">
        <v>437</v>
      </c>
      <c r="B119" s="8">
        <f>Transition_checks!$B$5</f>
        <v>1.0063356585902026</v>
      </c>
      <c r="C119" s="8">
        <f>Transition_checks!$C$5</f>
        <v>2.6892488954344627</v>
      </c>
      <c r="D119" s="8">
        <f>Transition_checks!$D$5</f>
        <v>3.3006886967658264</v>
      </c>
      <c r="E119" s="7">
        <f>Transition_checks!$K$5</f>
        <v>2.3625755624858904</v>
      </c>
    </row>
    <row r="120" spans="1:5" x14ac:dyDescent="0.2">
      <c r="A120" t="s">
        <v>443</v>
      </c>
      <c r="B120" s="8">
        <f>Transition_checks!$B$11</f>
        <v>1.2976342823406777</v>
      </c>
      <c r="C120" s="8">
        <f>Transition_checks!$C$11</f>
        <v>6.774668630338733E-2</v>
      </c>
      <c r="D120" s="8">
        <f>Transition_checks!$D$11</f>
        <v>0.13916814248835777</v>
      </c>
      <c r="E120" s="7">
        <f>Transition_checks!$K$11</f>
        <v>9.7482478273058604</v>
      </c>
    </row>
    <row r="121" spans="1:5" x14ac:dyDescent="0.2">
      <c r="A121" t="s">
        <v>441</v>
      </c>
      <c r="B121" s="8">
        <f>Transition_checks!$B$9</f>
        <v>1.1514666781056726</v>
      </c>
      <c r="C121" s="8">
        <f>Transition_checks!$C$9</f>
        <v>0.50220913107511045</v>
      </c>
      <c r="D121" s="8">
        <f>Transition_checks!$D$9</f>
        <v>0.47098578657553281</v>
      </c>
      <c r="E121" s="7">
        <f>Transition_checks!$K$9</f>
        <v>4.3418951752863588</v>
      </c>
    </row>
    <row r="122" spans="1:5" x14ac:dyDescent="0.2">
      <c r="A122" t="s">
        <v>445</v>
      </c>
      <c r="B122" s="8">
        <f>Transition_checks!$B$13</f>
        <v>1.1060868939885304</v>
      </c>
      <c r="C122" s="8">
        <f>Transition_checks!$C$13</f>
        <v>1.1826215022091309</v>
      </c>
      <c r="D122" s="8">
        <f>Transition_checks!$D$13</f>
        <v>1.4810461996422961</v>
      </c>
      <c r="E122" s="7">
        <f>Transition_checks!$K$13</f>
        <v>3.4318960121602293</v>
      </c>
    </row>
    <row r="123" spans="1:5" x14ac:dyDescent="0.2">
      <c r="A123" t="s">
        <v>444</v>
      </c>
      <c r="B123" s="8">
        <f>Transition_checks!$B$12</f>
        <v>0.97406611736659132</v>
      </c>
      <c r="C123" s="8">
        <f>Transition_checks!$C$12</f>
        <v>0.68924889543446244</v>
      </c>
      <c r="D123" s="8">
        <f>Transition_checks!$D$12</f>
        <v>0.44952327929313896</v>
      </c>
      <c r="E123" s="7">
        <f>Transition_checks!$K$12</f>
        <v>7.5124572764885764</v>
      </c>
    </row>
    <row r="124" spans="1:5" x14ac:dyDescent="0.2">
      <c r="A124" t="s">
        <v>438</v>
      </c>
      <c r="B124" s="8">
        <f>Transition_checks!$B$6</f>
        <v>0.96327432687024162</v>
      </c>
      <c r="C124" s="8">
        <f>Transition_checks!$C$6</f>
        <v>0.19734904270986747</v>
      </c>
      <c r="D124" s="8">
        <f>Transition_checks!$D$6</f>
        <v>1.45636001155464</v>
      </c>
      <c r="E124" s="7">
        <f>Transition_checks!$K$6</f>
        <v>4.572508093165367</v>
      </c>
    </row>
    <row r="125" spans="1:5" x14ac:dyDescent="0.2">
      <c r="A125" t="s">
        <v>442</v>
      </c>
      <c r="B125" s="8">
        <f>Transition_checks!$B$10</f>
        <v>0.79864339314595501</v>
      </c>
      <c r="C125" s="8">
        <f>Transition_checks!$C$10</f>
        <v>0.19293078055964655</v>
      </c>
      <c r="D125" s="8">
        <f>Transition_checks!$D$10</f>
        <v>0.12421191530405645</v>
      </c>
      <c r="E125" s="7">
        <f>Transition_checks!$K$10</f>
        <v>5.8573790822653997</v>
      </c>
    </row>
    <row r="126" spans="1:5" x14ac:dyDescent="0.2">
      <c r="A126" t="s">
        <v>439</v>
      </c>
      <c r="B126" s="8">
        <f>Transition_checks!$B$7</f>
        <v>0.76447472893335011</v>
      </c>
      <c r="C126" s="8">
        <f>Transition_checks!$C$7</f>
        <v>0.38586156111929309</v>
      </c>
      <c r="D126" s="8">
        <f>Transition_checks!$D$7</f>
        <v>0.72994889185733625</v>
      </c>
      <c r="E126" s="7">
        <f>Transition_checks!$K$7</f>
        <v>4.5481905087060426</v>
      </c>
    </row>
    <row r="127" spans="1:5" x14ac:dyDescent="0.2">
      <c r="A127" t="s">
        <v>440</v>
      </c>
      <c r="B127" s="8">
        <f>Transition_checks!$B$8</f>
        <v>0.64607664964830902</v>
      </c>
      <c r="C127" s="8">
        <f>Transition_checks!$C$8</f>
        <v>0.48011782032400591</v>
      </c>
      <c r="D127" s="8">
        <f>Transition_checks!$D$8</f>
        <v>0.23029720122189656</v>
      </c>
      <c r="E127" s="7">
        <f>Transition_checks!$K$8</f>
        <v>11.812820512820512</v>
      </c>
    </row>
    <row r="128" spans="1:5" x14ac:dyDescent="0.2">
      <c r="A128" t="s">
        <v>413</v>
      </c>
      <c r="B128" s="8">
        <f>Transition_checks!$B$15</f>
        <v>0.47632036790523091</v>
      </c>
      <c r="C128" s="8">
        <f>Transition_checks!$C$15</f>
        <v>0.58176735264986246</v>
      </c>
      <c r="D128" s="8">
        <f>Transition_checks!$D$15</f>
        <v>0.40763183272711706</v>
      </c>
      <c r="E128" t="s">
        <v>487</v>
      </c>
    </row>
    <row r="129" spans="1:16" x14ac:dyDescent="0.2">
      <c r="A129" t="s">
        <v>446</v>
      </c>
      <c r="B129" s="8">
        <f>Transition_checks!$B$14</f>
        <v>0.43807505719796547</v>
      </c>
      <c r="C129" s="8">
        <f>Transition_checks!$C$14</f>
        <v>8.2474226804123724E-2</v>
      </c>
      <c r="D129" s="8">
        <f>Transition_checks!$D$14</f>
        <v>0.17775718446568192</v>
      </c>
      <c r="E129" s="7">
        <f>Transition_checks!$K$14</f>
        <v>6.9827586206896548</v>
      </c>
    </row>
    <row r="130" spans="1:16" x14ac:dyDescent="0.2">
      <c r="A130" s="11" t="s">
        <v>488</v>
      </c>
      <c r="B130" s="8">
        <f>Transition_checks!$B$17</f>
        <v>0.96327432687024162</v>
      </c>
      <c r="C130" s="8">
        <f>Transition_checks!$B$18</f>
        <v>0.38586156111929309</v>
      </c>
      <c r="D130" s="8">
        <f>Transition_checks!$B$19</f>
        <v>0.44952327929313896</v>
      </c>
      <c r="E130" s="7">
        <f>Transition_checks!$B$20</f>
        <v>5.8573790822653997</v>
      </c>
    </row>
    <row r="133" spans="1:16" x14ac:dyDescent="0.2">
      <c r="A133" s="3" t="s">
        <v>489</v>
      </c>
    </row>
    <row r="134" spans="1:16" ht="32" x14ac:dyDescent="0.2">
      <c r="A134" s="6" t="s">
        <v>392</v>
      </c>
      <c r="B134" s="6" t="s">
        <v>490</v>
      </c>
      <c r="C134" s="6" t="s">
        <v>491</v>
      </c>
      <c r="D134" s="6" t="s">
        <v>492</v>
      </c>
      <c r="E134" s="6" t="s">
        <v>437</v>
      </c>
      <c r="F134" s="6" t="s">
        <v>438</v>
      </c>
      <c r="G134" s="6" t="s">
        <v>439</v>
      </c>
      <c r="H134" s="6" t="s">
        <v>440</v>
      </c>
      <c r="I134" s="6" t="s">
        <v>441</v>
      </c>
      <c r="J134" s="6" t="s">
        <v>442</v>
      </c>
      <c r="K134" s="6" t="s">
        <v>443</v>
      </c>
      <c r="L134" s="6" t="s">
        <v>444</v>
      </c>
      <c r="M134" s="6" t="s">
        <v>445</v>
      </c>
      <c r="N134" s="6" t="s">
        <v>446</v>
      </c>
      <c r="O134" s="6" t="s">
        <v>493</v>
      </c>
      <c r="P134" s="6" t="s">
        <v>494</v>
      </c>
    </row>
    <row r="135" spans="1:16" x14ac:dyDescent="0.2">
      <c r="A135" t="s">
        <v>395</v>
      </c>
      <c r="B135" s="7">
        <f>Farm_results!$B$4</f>
        <v>3.9502003244925663</v>
      </c>
      <c r="C135" s="7">
        <f>Farm_results!$C$4</f>
        <v>6.79</v>
      </c>
      <c r="D135" s="7">
        <f>Farm_results!$D$4</f>
        <v>31.3</v>
      </c>
      <c r="E135" s="7">
        <f>Farm_results!$E$4</f>
        <v>18.260000000000002</v>
      </c>
      <c r="F135" s="7">
        <f>Farm_results!$F$4</f>
        <v>1.34</v>
      </c>
      <c r="G135" s="7">
        <f>Farm_results!$G$4</f>
        <v>2.62</v>
      </c>
      <c r="H135" s="7">
        <f>Farm_results!$H$4</f>
        <v>3.26</v>
      </c>
      <c r="I135" s="7">
        <f>Farm_results!$I$4</f>
        <v>3.41</v>
      </c>
      <c r="J135" s="7">
        <f>Farm_results!$J$4</f>
        <v>1.31</v>
      </c>
      <c r="K135" s="7">
        <f>Farm_results!$K$4</f>
        <v>0.46</v>
      </c>
      <c r="L135" s="7">
        <f>Farm_results!$L$4</f>
        <v>4.68</v>
      </c>
      <c r="M135" s="7">
        <f>Farm_results!$M$4</f>
        <v>8.0299999999999994</v>
      </c>
      <c r="N135" s="7">
        <f>Farm_results!$N$4</f>
        <v>0.56000000000000005</v>
      </c>
      <c r="O135" s="8">
        <f>Farm_results!$O$4</f>
        <v>0.58176735264986246</v>
      </c>
      <c r="P135" s="8">
        <f>Farm_results!$P$4</f>
        <v>0.12620448321062511</v>
      </c>
    </row>
    <row r="136" spans="1:16" x14ac:dyDescent="0.2">
      <c r="A136" t="s">
        <v>495</v>
      </c>
      <c r="B136" s="7">
        <f>Farm_results!$B$5</f>
        <v>3.016456408728188</v>
      </c>
      <c r="C136" s="7">
        <f>Farm_results!$C$5</f>
        <v>1.76</v>
      </c>
      <c r="D136" s="7">
        <f>Farm_results!$D$5</f>
        <v>16.55</v>
      </c>
      <c r="E136" s="7">
        <f>Farm_results!$E$5</f>
        <v>3.27</v>
      </c>
      <c r="F136" s="7">
        <f>Farm_results!$F$5</f>
        <v>0.22</v>
      </c>
      <c r="G136" s="7">
        <f>Farm_results!$G$5</f>
        <v>1.01</v>
      </c>
      <c r="H136" s="7">
        <f>Farm_results!$H$5</f>
        <v>0.14000000000000001</v>
      </c>
      <c r="I136" s="7">
        <f>Farm_results!$I$5</f>
        <v>0.86</v>
      </c>
      <c r="J136" s="7">
        <f>Farm_results!$J$5</f>
        <v>0.59</v>
      </c>
      <c r="K136" s="7">
        <f>Farm_results!$K$5</f>
        <v>0.05</v>
      </c>
      <c r="L136" s="7">
        <f>Farm_results!$L$5</f>
        <v>2.72</v>
      </c>
      <c r="M136" s="7">
        <f>Farm_results!$M$5</f>
        <v>5.04</v>
      </c>
      <c r="N136" s="7">
        <f>Farm_results!$N$5</f>
        <v>0.26</v>
      </c>
      <c r="O136" s="8">
        <f>Farm_results!$O$5</f>
        <v>1.7138956867773796</v>
      </c>
      <c r="P136" s="8">
        <f>Farm_results!$P$5</f>
        <v>0.18226322711348567</v>
      </c>
    </row>
    <row r="137" spans="1:16" x14ac:dyDescent="0.2">
      <c r="A137" t="s">
        <v>496</v>
      </c>
      <c r="B137" s="7">
        <f>Farm_results!$B$6</f>
        <v>1.3906824277341809</v>
      </c>
      <c r="C137" s="7">
        <f>Farm_results!$C$6</f>
        <v>4.21</v>
      </c>
      <c r="D137" s="7">
        <f>Farm_results!$D$6</f>
        <v>8.07</v>
      </c>
      <c r="E137" s="7">
        <f>Farm_results!$E$6</f>
        <v>7.7</v>
      </c>
      <c r="F137" s="7">
        <f>Farm_results!$F$6</f>
        <v>12.66</v>
      </c>
      <c r="G137" s="7">
        <f>Farm_results!$G$6</f>
        <v>3.34</v>
      </c>
      <c r="H137" s="7">
        <f>Farm_results!$H$6</f>
        <v>0.45</v>
      </c>
      <c r="I137" s="7">
        <f>Farm_results!$I$6</f>
        <v>0.76</v>
      </c>
      <c r="J137" s="7">
        <f>Farm_results!$J$6</f>
        <v>0.18</v>
      </c>
      <c r="K137" s="7">
        <f>Farm_results!$K$6</f>
        <v>0.43</v>
      </c>
      <c r="L137" s="7">
        <f>Farm_results!$L$6</f>
        <v>1.39</v>
      </c>
      <c r="M137" s="7">
        <f>Farm_results!$M$6</f>
        <v>4.75</v>
      </c>
      <c r="N137" s="7">
        <f>Farm_results!$N$6</f>
        <v>0.28999999999999998</v>
      </c>
      <c r="O137" s="8">
        <f>Farm_results!$O$6</f>
        <v>0.33032836763282208</v>
      </c>
      <c r="P137" s="8">
        <f>Farm_results!$P$6</f>
        <v>0.17232743838093939</v>
      </c>
    </row>
    <row r="138" spans="1:16" x14ac:dyDescent="0.2">
      <c r="A138" t="s">
        <v>497</v>
      </c>
      <c r="B138" s="7">
        <f>Farm_results!$B$7</f>
        <v>1.2946591172477733</v>
      </c>
      <c r="C138" s="7">
        <f>Farm_results!$C$7</f>
        <v>5.32</v>
      </c>
      <c r="D138" s="7">
        <f>Farm_results!$D$7</f>
        <v>16.739999999999998</v>
      </c>
      <c r="E138" s="7">
        <f>Farm_results!$E$7</f>
        <v>18.59</v>
      </c>
      <c r="F138" s="7">
        <f>Farm_results!$F$7</f>
        <v>13.69</v>
      </c>
      <c r="G138" s="7">
        <f>Farm_results!$G$7</f>
        <v>5.8</v>
      </c>
      <c r="H138" s="7">
        <f>Farm_results!$H$7</f>
        <v>0.78</v>
      </c>
      <c r="I138" s="7">
        <f>Farm_results!$I$7</f>
        <v>3.36</v>
      </c>
      <c r="J138" s="7">
        <f>Farm_results!$J$7</f>
        <v>0.71</v>
      </c>
      <c r="K138" s="7">
        <f>Farm_results!$K$7</f>
        <v>0.87</v>
      </c>
      <c r="L138" s="7">
        <f>Farm_results!$L$7</f>
        <v>4.08</v>
      </c>
      <c r="M138" s="7">
        <f>Farm_results!$M$7</f>
        <v>9.6</v>
      </c>
      <c r="N138" s="7">
        <f>Farm_results!$N$7</f>
        <v>0.9</v>
      </c>
      <c r="O138" s="8">
        <f>Farm_results!$O$7</f>
        <v>0.24335697692627317</v>
      </c>
      <c r="P138" s="8">
        <f>Farm_results!$P$7</f>
        <v>7.7339254315876543E-2</v>
      </c>
    </row>
    <row r="139" spans="1:16" x14ac:dyDescent="0.2">
      <c r="A139" t="s">
        <v>399</v>
      </c>
      <c r="B139" s="7">
        <f>Farm_results!$B$8</f>
        <v>2.9402999900665541</v>
      </c>
      <c r="C139" s="7">
        <f>Farm_results!$C$8</f>
        <v>3.23</v>
      </c>
      <c r="D139" s="7">
        <f>Farm_results!$D$8</f>
        <v>18.73</v>
      </c>
      <c r="E139" s="7">
        <f>Farm_results!$E$8</f>
        <v>20.96</v>
      </c>
      <c r="F139" s="7">
        <f>Farm_results!$F$8</f>
        <v>2.82</v>
      </c>
      <c r="G139" s="7">
        <f>Farm_results!$G$8</f>
        <v>5.32</v>
      </c>
      <c r="H139" s="7">
        <f>Farm_results!$H$8</f>
        <v>0.37</v>
      </c>
      <c r="I139" s="7">
        <f>Farm_results!$I$8</f>
        <v>1.77</v>
      </c>
      <c r="J139" s="7">
        <f>Farm_results!$J$8</f>
        <v>0.41</v>
      </c>
      <c r="K139" s="7">
        <f>Farm_results!$K$8</f>
        <v>0.82</v>
      </c>
      <c r="L139" s="7">
        <f>Farm_results!$L$8</f>
        <v>1.0900000000000001</v>
      </c>
      <c r="M139" s="7">
        <f>Farm_results!$M$8</f>
        <v>4.66</v>
      </c>
      <c r="N139" s="7">
        <f>Farm_results!$N$8</f>
        <v>0.43</v>
      </c>
      <c r="O139" s="8">
        <f>Farm_results!$O$8</f>
        <v>0.91030959444784953</v>
      </c>
      <c r="P139" s="8">
        <f>Farm_results!$P$8</f>
        <v>0.15698344848193027</v>
      </c>
    </row>
    <row r="140" spans="1:16" x14ac:dyDescent="0.2">
      <c r="A140" t="s">
        <v>400</v>
      </c>
      <c r="B140" s="7">
        <f>Farm_results!$B$9</f>
        <v>1.155590874474355</v>
      </c>
      <c r="C140" s="7">
        <f>Farm_results!$C$9</f>
        <v>11.35</v>
      </c>
      <c r="D140" s="7">
        <f>Farm_results!$D$9</f>
        <v>45.73</v>
      </c>
      <c r="E140" s="7">
        <f>Farm_results!$E$9</f>
        <v>37.79</v>
      </c>
      <c r="F140" s="7">
        <f>Farm_results!$F$9</f>
        <v>12.31</v>
      </c>
      <c r="G140" s="7">
        <f>Farm_results!$G$9</f>
        <v>5.59</v>
      </c>
      <c r="H140" s="7">
        <f>Farm_results!$H$9</f>
        <v>0.3</v>
      </c>
      <c r="I140" s="7">
        <f>Farm_results!$I$9</f>
        <v>1.34</v>
      </c>
      <c r="J140" s="7">
        <f>Farm_results!$J$9</f>
        <v>0.65</v>
      </c>
      <c r="K140" s="7">
        <f>Farm_results!$K$9</f>
        <v>2.37</v>
      </c>
      <c r="L140" s="7">
        <f>Farm_results!$L$9</f>
        <v>5.47</v>
      </c>
      <c r="M140" s="7">
        <f>Farm_results!$M$9</f>
        <v>29.75</v>
      </c>
      <c r="N140" s="7">
        <f>Farm_results!$N$9</f>
        <v>1.59</v>
      </c>
      <c r="O140" s="8">
        <f>Farm_results!$O$9</f>
        <v>0.10181417396249824</v>
      </c>
      <c r="P140" s="8">
        <f>Farm_results!$P$9</f>
        <v>2.5269863863423468E-2</v>
      </c>
    </row>
    <row r="141" spans="1:16" x14ac:dyDescent="0.2">
      <c r="A141" t="s">
        <v>498</v>
      </c>
      <c r="B141" s="7">
        <f>Farm_results!$B$10</f>
        <v>1.2151915499486772</v>
      </c>
      <c r="C141" s="7">
        <f>Farm_results!$C$10</f>
        <v>2.44</v>
      </c>
      <c r="D141" s="7">
        <f>Farm_results!$D$10</f>
        <v>37.24</v>
      </c>
      <c r="E141" s="7">
        <f>Farm_results!$E$10</f>
        <v>12.01</v>
      </c>
      <c r="F141" s="7">
        <f>Farm_results!$F$10</f>
        <v>1.98</v>
      </c>
      <c r="G141" s="7">
        <f>Farm_results!$G$10</f>
        <v>1.5</v>
      </c>
      <c r="H141" s="7">
        <f>Farm_results!$H$10</f>
        <v>0.37</v>
      </c>
      <c r="I141" s="7">
        <f>Farm_results!$I$10</f>
        <v>1.69</v>
      </c>
      <c r="J141" s="7">
        <f>Farm_results!$J$10</f>
        <v>0.63</v>
      </c>
      <c r="K141" s="7">
        <f>Farm_results!$K$10</f>
        <v>0.19</v>
      </c>
      <c r="L141" s="7">
        <f>Farm_results!$L$10</f>
        <v>0.28999999999999998</v>
      </c>
      <c r="M141" s="7">
        <f>Farm_results!$M$10</f>
        <v>2.0499999999999998</v>
      </c>
      <c r="N141" s="7">
        <f>Farm_results!$N$10</f>
        <v>0.36</v>
      </c>
      <c r="O141" s="8">
        <f>Farm_results!$O$10</f>
        <v>0.49802932374945785</v>
      </c>
      <c r="P141" s="8">
        <f>Farm_results!$P$10</f>
        <v>0.47608669707394774</v>
      </c>
    </row>
    <row r="142" spans="1:16" x14ac:dyDescent="0.2">
      <c r="A142" t="s">
        <v>402</v>
      </c>
      <c r="B142" s="7">
        <f>Farm_results!$B$11</f>
        <v>0.24502499917221285</v>
      </c>
      <c r="C142" s="7">
        <f>Farm_results!$C$11</f>
        <v>1.96</v>
      </c>
      <c r="D142" s="7">
        <f>Farm_results!$D$11</f>
        <v>14.6</v>
      </c>
      <c r="E142" s="7">
        <f>Farm_results!$E$11</f>
        <v>3.46</v>
      </c>
      <c r="F142" s="7">
        <f>Farm_results!$F$11</f>
        <v>0.06</v>
      </c>
      <c r="G142" s="7">
        <f>Farm_results!$G$11</f>
        <v>0.23</v>
      </c>
      <c r="H142" s="7">
        <f>Farm_results!$H$11</f>
        <v>2.87</v>
      </c>
      <c r="I142" s="7">
        <f>Farm_results!$I$11</f>
        <v>0.75</v>
      </c>
      <c r="J142" s="7">
        <f>Farm_results!$J$11</f>
        <v>0.03</v>
      </c>
      <c r="K142" s="7">
        <f>Farm_results!$K$11</f>
        <v>0.1</v>
      </c>
      <c r="L142" s="7">
        <f>Farm_results!$L$11</f>
        <v>0.53</v>
      </c>
      <c r="M142" s="7">
        <f>Farm_results!$M$11</f>
        <v>0.75</v>
      </c>
      <c r="N142" s="7">
        <f>Farm_results!$N$11</f>
        <v>0.01</v>
      </c>
      <c r="O142" s="8">
        <f>Farm_results!$O$11</f>
        <v>0.12501275467970044</v>
      </c>
      <c r="P142" s="8">
        <f>Farm_results!$P$11</f>
        <v>0.24485474157898221</v>
      </c>
    </row>
    <row r="143" spans="1:16" x14ac:dyDescent="0.2">
      <c r="A143" t="s">
        <v>499</v>
      </c>
      <c r="B143" s="7">
        <f>Farm_results!$B$12</f>
        <v>0.65560743021754242</v>
      </c>
      <c r="C143" s="7">
        <f>Farm_results!$C$12</f>
        <v>4.6900000000000004</v>
      </c>
      <c r="D143" s="7">
        <f>Farm_results!$D$12</f>
        <v>49.07</v>
      </c>
      <c r="E143" s="7">
        <f>Farm_results!$E$12</f>
        <v>11.02</v>
      </c>
      <c r="F143" s="7">
        <f>Farm_results!$F$12</f>
        <v>3.21</v>
      </c>
      <c r="G143" s="7">
        <f>Farm_results!$G$12</f>
        <v>2.58</v>
      </c>
      <c r="H143" s="7">
        <f>Farm_results!$H$12</f>
        <v>0.38</v>
      </c>
      <c r="I143" s="7">
        <f>Farm_results!$I$12</f>
        <v>2.71</v>
      </c>
      <c r="J143" s="7">
        <f>Farm_results!$J$12</f>
        <v>0.68</v>
      </c>
      <c r="K143" s="7">
        <f>Farm_results!$K$12</f>
        <v>1.21</v>
      </c>
      <c r="L143" s="7">
        <f>Farm_results!$L$12</f>
        <v>1.78</v>
      </c>
      <c r="M143" s="7">
        <f>Farm_results!$M$12</f>
        <v>9.6199999999999992</v>
      </c>
      <c r="N143" s="7">
        <f>Farm_results!$N$12</f>
        <v>3.08</v>
      </c>
      <c r="O143" s="8">
        <f>Farm_results!$O$12</f>
        <v>0.13978836465192801</v>
      </c>
      <c r="P143" s="8">
        <f>Farm_results!$P$12</f>
        <v>0.19493004669460665</v>
      </c>
    </row>
    <row r="144" spans="1:16" x14ac:dyDescent="0.2">
      <c r="A144" t="s">
        <v>500</v>
      </c>
      <c r="B144" s="7">
        <f>Farm_results!$B$13</f>
        <v>1.1721466176616668</v>
      </c>
      <c r="C144" s="7">
        <f>Farm_results!$C$13</f>
        <v>2.5099999999999998</v>
      </c>
      <c r="D144" s="7">
        <f>Farm_results!$D$13</f>
        <v>38.520000000000003</v>
      </c>
      <c r="E144" s="7">
        <f>Farm_results!$E$13</f>
        <v>11.67</v>
      </c>
      <c r="F144" s="7">
        <f>Farm_results!$F$13</f>
        <v>2.13</v>
      </c>
      <c r="G144" s="7">
        <f>Farm_results!$G$13</f>
        <v>0.85</v>
      </c>
      <c r="H144" s="7">
        <f>Farm_results!$H$13</f>
        <v>0.17</v>
      </c>
      <c r="I144" s="7">
        <f>Farm_results!$I$13</f>
        <v>2.14</v>
      </c>
      <c r="J144" s="7">
        <f>Farm_results!$J$13</f>
        <v>0.46</v>
      </c>
      <c r="K144" s="7">
        <f>Farm_results!$K$13</f>
        <v>0.17</v>
      </c>
      <c r="L144" s="7">
        <f>Farm_results!$L$13</f>
        <v>0.43</v>
      </c>
      <c r="M144" s="7">
        <f>Farm_results!$M$13</f>
        <v>1.87</v>
      </c>
      <c r="N144" s="7">
        <f>Farm_results!$N$13</f>
        <v>0.53</v>
      </c>
      <c r="O144" s="8">
        <f>Farm_results!$O$13</f>
        <v>0.46699068432735735</v>
      </c>
      <c r="P144" s="8">
        <f>Farm_results!$P$13</f>
        <v>0.4439628576158442</v>
      </c>
    </row>
    <row r="145" spans="1:16" x14ac:dyDescent="0.2">
      <c r="A145" t="s">
        <v>501</v>
      </c>
      <c r="O145" s="8">
        <f>Farm_results!O15</f>
        <v>0.39865952598008969</v>
      </c>
      <c r="P145" s="8">
        <f>Farm_results!P15</f>
        <v>0.17729533274721254</v>
      </c>
    </row>
    <row r="146" spans="1:16" x14ac:dyDescent="0.2">
      <c r="A146" s="11" t="s">
        <v>502</v>
      </c>
    </row>
    <row r="149" spans="1:16" x14ac:dyDescent="0.2">
      <c r="A149" s="3" t="s">
        <v>503</v>
      </c>
    </row>
    <row r="150" spans="1:16" ht="32" x14ac:dyDescent="0.2">
      <c r="A150" s="6" t="s">
        <v>406</v>
      </c>
      <c r="B150" s="6" t="s">
        <v>413</v>
      </c>
      <c r="C150" s="6" t="s">
        <v>504</v>
      </c>
      <c r="D150" s="6" t="s">
        <v>505</v>
      </c>
      <c r="E150" s="6" t="s">
        <v>410</v>
      </c>
      <c r="F150" s="6" t="s">
        <v>506</v>
      </c>
    </row>
    <row r="151" spans="1:16" x14ac:dyDescent="0.2">
      <c r="A151" t="s">
        <v>142</v>
      </c>
      <c r="B151" s="8">
        <f>Processing_index!$S$15</f>
        <v>0.17392266674442028</v>
      </c>
      <c r="C151" s="8">
        <f>Orientations!$C$4</f>
        <v>0.44929589351123933</v>
      </c>
      <c r="D151" s="8">
        <f>Orientations!$D$4</f>
        <v>0.61202871704517614</v>
      </c>
      <c r="E151" s="8">
        <f>Processing_index!$S$4</f>
        <v>0.51339238027652934</v>
      </c>
      <c r="F151" s="8">
        <f>Orientations!$F$4</f>
        <v>0.27537322676681908</v>
      </c>
    </row>
    <row r="152" spans="1:16" x14ac:dyDescent="0.2">
      <c r="A152" t="s">
        <v>156</v>
      </c>
      <c r="B152" s="8">
        <f>Processing_index!$T$15</f>
        <v>0.23417283141449302</v>
      </c>
      <c r="C152" s="8">
        <f>Orientations!$C$5</f>
        <v>0.35687569851184336</v>
      </c>
      <c r="D152" s="8">
        <f>Orientations!$D$5</f>
        <v>0.40090031866066783</v>
      </c>
      <c r="E152" s="8">
        <f>Processing_index!$T$4</f>
        <v>0.4082114636891348</v>
      </c>
      <c r="F152" s="8">
        <f>Orientations!$F$5</f>
        <v>0.12270286709735034</v>
      </c>
    </row>
    <row r="153" spans="1:16" x14ac:dyDescent="0.2">
      <c r="A153" t="s">
        <v>163</v>
      </c>
      <c r="B153" s="8">
        <f>Processing_index!$U$15</f>
        <v>0.36886287936698087</v>
      </c>
      <c r="C153" s="8">
        <f>Orientations!$C$6</f>
        <v>0.5107672202523813</v>
      </c>
      <c r="D153" s="8">
        <f>Orientations!$D$6</f>
        <v>0.68466426391631163</v>
      </c>
      <c r="E153" s="8">
        <f>Processing_index!$U$4</f>
        <v>0.53168491473873092</v>
      </c>
      <c r="F153" s="8">
        <f>Orientations!$F$6</f>
        <v>0.14190434088540044</v>
      </c>
    </row>
    <row r="154" spans="1:16" x14ac:dyDescent="0.2">
      <c r="A154" t="s">
        <v>174</v>
      </c>
      <c r="B154" s="8">
        <f>Processing_index!$V$15</f>
        <v>0.35816637363864023</v>
      </c>
      <c r="C154" s="8">
        <f>Orientations!$C$7</f>
        <v>0.65898503208923942</v>
      </c>
      <c r="D154" s="8">
        <f>Orientations!$D$7</f>
        <v>0.84436186622398612</v>
      </c>
      <c r="E154" s="8">
        <f>Processing_index!$V$4</f>
        <v>0.71734079231025216</v>
      </c>
      <c r="F154" s="8">
        <f>Orientations!$F$7</f>
        <v>0.30081865845059919</v>
      </c>
    </row>
    <row r="155" spans="1:16" x14ac:dyDescent="0.2">
      <c r="A155" t="s">
        <v>183</v>
      </c>
      <c r="B155" s="8">
        <f>Processing_index!$W$15</f>
        <v>0.31068594867071531</v>
      </c>
      <c r="C155" s="8">
        <f>Orientations!$C$8</f>
        <v>0.55546197857454915</v>
      </c>
      <c r="D155" s="8">
        <f>Orientations!$D$8</f>
        <v>0.76788110025810929</v>
      </c>
      <c r="E155" s="8">
        <f>Processing_index!$W$4</f>
        <v>0.62060694747090672</v>
      </c>
      <c r="F155" s="8">
        <f>Orientations!$F$8</f>
        <v>0.24477602990383385</v>
      </c>
    </row>
    <row r="156" spans="1:16" x14ac:dyDescent="0.2">
      <c r="A156" t="s">
        <v>194</v>
      </c>
      <c r="B156" s="8">
        <f>Processing_index!$X$15</f>
        <v>0.2878422920892495</v>
      </c>
      <c r="C156" s="8">
        <f>Orientations!$C$9</f>
        <v>0.2983635480054091</v>
      </c>
      <c r="D156" s="8">
        <f>Orientations!$D$9</f>
        <v>0.56763426395462402</v>
      </c>
      <c r="E156" s="8">
        <f>Processing_index!$X$4</f>
        <v>0.43058584065810235</v>
      </c>
      <c r="F156" s="8">
        <f>Orientations!$F$9</f>
        <v>1.05212559161596E-2</v>
      </c>
    </row>
    <row r="157" spans="1:16" x14ac:dyDescent="0.2">
      <c r="A157" t="s">
        <v>199</v>
      </c>
      <c r="B157" s="8">
        <f>Processing_index!$Y$15</f>
        <v>0.23855688878459491</v>
      </c>
      <c r="C157" s="8">
        <f>Orientations!$C$10</f>
        <v>0.43925493791498488</v>
      </c>
      <c r="D157" s="8">
        <f>Orientations!$D$10</f>
        <v>0.6492367460432088</v>
      </c>
      <c r="E157" s="8">
        <f>Processing_index!$Y$4</f>
        <v>0.55128567581699917</v>
      </c>
      <c r="F157" s="8">
        <f>Orientations!$F$10</f>
        <v>0.20069804913038997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E16"/>
  <sheetViews>
    <sheetView workbookViewId="0">
      <selection activeCell="B3" sqref="B3"/>
    </sheetView>
  </sheetViews>
  <sheetFormatPr baseColWidth="10" defaultColWidth="8.83203125" defaultRowHeight="15" x14ac:dyDescent="0.2"/>
  <cols>
    <col min="1" max="1" width="30" customWidth="1"/>
    <col min="2" max="4" width="22" customWidth="1"/>
  </cols>
  <sheetData>
    <row r="1" spans="1:5" ht="17" x14ac:dyDescent="0.2">
      <c r="A1" s="1" t="s">
        <v>507</v>
      </c>
    </row>
    <row r="3" spans="1:5" x14ac:dyDescent="0.2">
      <c r="A3" s="3" t="s">
        <v>508</v>
      </c>
      <c r="B3" s="4" t="s">
        <v>509</v>
      </c>
    </row>
    <row r="4" spans="1:5" x14ac:dyDescent="0.2">
      <c r="A4" s="11" t="s">
        <v>510</v>
      </c>
    </row>
    <row r="5" spans="1:5" x14ac:dyDescent="0.2">
      <c r="A5" t="s">
        <v>511</v>
      </c>
      <c r="B5" t="str">
        <f>IF($B$3="UA","Частка України / частка ЄС-27 (логарифмічна шкала)","Ukrainian share / EU-27 share (log scale)")</f>
        <v>Ukrainian share / EU-27 share (log scale)</v>
      </c>
    </row>
    <row r="6" spans="1:5" x14ac:dyDescent="0.2">
      <c r="A6" s="3" t="s">
        <v>35</v>
      </c>
      <c r="B6" s="3" t="str">
        <f>IF($B$3="UA","Відношення до всіх господарств ЄС","Ratio to all EU holdings")</f>
        <v>Ratio to all EU holdings</v>
      </c>
      <c r="C6" s="3" t="str">
        <f>IF($B$3="UA","Відношення до великих господарств ЄС","Ratio to large EU holdings")</f>
        <v>Ratio to large EU holdings</v>
      </c>
      <c r="D6" s="3" t="str">
        <f>IF($B$3="UA","Рівень ЄС","Parity with the EU")</f>
        <v>Parity with the EU</v>
      </c>
      <c r="E6" t="s">
        <v>37</v>
      </c>
    </row>
    <row r="7" spans="1:5" x14ac:dyDescent="0.2">
      <c r="A7" t="str">
        <f>IF($B$3="UA","Автоматичне годування","Automatic feeding")</f>
        <v>Automatic feeding</v>
      </c>
      <c r="B7" s="9">
        <f>Farm_results!$O$10</f>
        <v>0.49802932374945785</v>
      </c>
      <c r="C7" s="9">
        <f>Farm_results!$P$10</f>
        <v>0.47608669707394774</v>
      </c>
      <c r="D7">
        <v>1</v>
      </c>
      <c r="E7" t="s">
        <v>84</v>
      </c>
    </row>
    <row r="8" spans="1:5" x14ac:dyDescent="0.2">
      <c r="A8" t="str">
        <f>IF($B$3="UA","Регулювання мікроклімату","Climate regulation")</f>
        <v>Climate regulation</v>
      </c>
      <c r="B8" s="9">
        <f>Farm_results!$O$13</f>
        <v>0.46699068432735735</v>
      </c>
      <c r="C8" s="9">
        <f>Farm_results!$P$13</f>
        <v>0.4439628576158442</v>
      </c>
      <c r="D8">
        <v>1</v>
      </c>
      <c r="E8" t="s">
        <v>92</v>
      </c>
    </row>
    <row r="9" spans="1:5" x14ac:dyDescent="0.2">
      <c r="A9" t="str">
        <f>IF($B$3="UA","Доїльні роботи","Milking robots")</f>
        <v>Milking robots</v>
      </c>
      <c r="B9" s="9">
        <f>Farm_results!$O$11</f>
        <v>0.12501275467970044</v>
      </c>
      <c r="C9" s="9">
        <f>Farm_results!$P$11</f>
        <v>0.24485474157898221</v>
      </c>
      <c r="D9">
        <v>1</v>
      </c>
      <c r="E9" t="s">
        <v>88</v>
      </c>
    </row>
    <row r="10" spans="1:5" x14ac:dyDescent="0.2">
      <c r="A10" t="str">
        <f>IF($B$3="UA","Моніторинг здоров'я тварин","Animal health monitoring")</f>
        <v>Animal health monitoring</v>
      </c>
      <c r="B10" s="9">
        <f>Farm_results!$O$12</f>
        <v>0.13978836465192801</v>
      </c>
      <c r="C10" s="9">
        <f>Farm_results!$P$12</f>
        <v>0.19493004669460665</v>
      </c>
      <c r="D10">
        <v>1</v>
      </c>
      <c r="E10" t="s">
        <v>90</v>
      </c>
    </row>
    <row r="11" spans="1:5" x14ac:dyDescent="0.2">
      <c r="A11" t="str">
        <f>IF($B$3="UA","Роботи для ЗЗР","Plant protection robots")</f>
        <v>Plant protection robots</v>
      </c>
      <c r="B11" s="9">
        <f>Farm_results!$O$5</f>
        <v>1.7138956867773796</v>
      </c>
      <c r="C11" s="9">
        <f>Farm_results!$P$5</f>
        <v>0.18226322711348567</v>
      </c>
      <c r="D11">
        <v>1</v>
      </c>
      <c r="E11" t="s">
        <v>73</v>
      </c>
    </row>
    <row r="12" spans="1:5" x14ac:dyDescent="0.2">
      <c r="A12" t="str">
        <f>IF($B$3="UA","Стрічкове внесення ЗЗР","Band spraying")</f>
        <v>Band spraying</v>
      </c>
      <c r="B12" s="9">
        <f>Farm_results!$O$6</f>
        <v>0.33032836763282208</v>
      </c>
      <c r="C12" s="9">
        <f>Farm_results!$P$6</f>
        <v>0.17232743838093939</v>
      </c>
      <c r="D12">
        <v>1</v>
      </c>
      <c r="E12" t="s">
        <v>76</v>
      </c>
    </row>
    <row r="13" spans="1:5" x14ac:dyDescent="0.2">
      <c r="A13" t="str">
        <f>IF($B$3="UA","Моніторинг посівів","Precision crop monitoring")</f>
        <v>Precision crop monitoring</v>
      </c>
      <c r="B13" s="9">
        <f>Farm_results!$O$8</f>
        <v>0.91030959444784953</v>
      </c>
      <c r="C13" s="9">
        <f>Farm_results!$P$8</f>
        <v>0.15698344848193027</v>
      </c>
      <c r="D13">
        <v>1</v>
      </c>
      <c r="E13" t="s">
        <v>80</v>
      </c>
    </row>
    <row r="14" spans="1:5" x14ac:dyDescent="0.2">
      <c r="A14" t="str">
        <f>IF($B$3="UA","Робототехніка","Robotics")</f>
        <v>Robotics</v>
      </c>
      <c r="B14" s="9">
        <f>Farm_results!$O$4</f>
        <v>0.58176735264986246</v>
      </c>
      <c r="C14" s="9">
        <f>Farm_results!$P$4</f>
        <v>0.12620448321062511</v>
      </c>
      <c r="D14">
        <v>1</v>
      </c>
      <c r="E14" t="s">
        <v>69</v>
      </c>
    </row>
    <row r="15" spans="1:5" x14ac:dyDescent="0.2">
      <c r="A15" t="str">
        <f>IF($B$3="UA","Змінні норми внесення","Variable rate technology")</f>
        <v>Variable rate technology</v>
      </c>
      <c r="B15" s="9">
        <f>Farm_results!$O$7</f>
        <v>0.24335697692627317</v>
      </c>
      <c r="C15" s="9">
        <f>Farm_results!$P$7</f>
        <v>7.7339254315876543E-2</v>
      </c>
      <c r="D15">
        <v>1</v>
      </c>
      <c r="E15" t="s">
        <v>78</v>
      </c>
    </row>
    <row r="16" spans="1:5" x14ac:dyDescent="0.2">
      <c r="A16" t="str">
        <f>IF($B$3="UA","Аналіз ґрунту","Soil analysis")</f>
        <v>Soil analysis</v>
      </c>
      <c r="B16" s="9">
        <f>Farm_results!$O$9</f>
        <v>0.10181417396249824</v>
      </c>
      <c r="C16" s="9">
        <f>Farm_results!$P$9</f>
        <v>2.5269863863423468E-2</v>
      </c>
      <c r="D16">
        <v>1</v>
      </c>
      <c r="E16" t="s">
        <v>82</v>
      </c>
    </row>
  </sheetData>
  <pageMargins left="0.75" right="0.75" top="1" bottom="1" header="0.5" footer="0.5"/>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E13"/>
  <sheetViews>
    <sheetView workbookViewId="0"/>
  </sheetViews>
  <sheetFormatPr baseColWidth="10" defaultColWidth="8.83203125" defaultRowHeight="15" x14ac:dyDescent="0.2"/>
  <cols>
    <col min="1" max="1" width="30" customWidth="1"/>
    <col min="2" max="5" width="22" customWidth="1"/>
  </cols>
  <sheetData>
    <row r="1" spans="1:5" ht="17" x14ac:dyDescent="0.2">
      <c r="A1" s="1" t="s">
        <v>512</v>
      </c>
    </row>
    <row r="3" spans="1:5" x14ac:dyDescent="0.2">
      <c r="A3" s="3" t="s">
        <v>508</v>
      </c>
      <c r="B3" s="4" t="s">
        <v>509</v>
      </c>
    </row>
    <row r="4" spans="1:5" x14ac:dyDescent="0.2">
      <c r="A4" s="11" t="s">
        <v>513</v>
      </c>
    </row>
    <row r="5" spans="1:5" x14ac:dyDescent="0.2">
      <c r="A5" t="s">
        <v>511</v>
      </c>
      <c r="B5" t="str">
        <f>IF($B$3="UA","Шаровий показник (частка від лідера ЄС)","Layer score (share of the EU leader)")</f>
        <v>Layer score (share of the EU leader)</v>
      </c>
    </row>
    <row r="6" spans="1:5" x14ac:dyDescent="0.2">
      <c r="A6" s="3" t="s">
        <v>134</v>
      </c>
      <c r="B6" t="str">
        <f>IF($B$3="UA","Україна","Ukraine")</f>
        <v>Ukraine</v>
      </c>
      <c r="C6" t="str">
        <f>IF($B$3="UA","Країни 3-го рівня, середнє","Level 3 countries, mean")</f>
        <v>Level 3 countries, mean</v>
      </c>
      <c r="D6" t="str">
        <f>IF($B$3="UA","Країни 4-го рівня, середнє","Level 4 countries, mean")</f>
        <v>Level 4 countries, mean</v>
      </c>
      <c r="E6" t="str">
        <f>IF($B$3="UA","ЄС-27","EU-27")</f>
        <v>EU-27</v>
      </c>
    </row>
    <row r="7" spans="1:5" x14ac:dyDescent="0.2">
      <c r="A7" t="s">
        <v>142</v>
      </c>
      <c r="B7" s="8">
        <f>Processing_index!$S$15</f>
        <v>0.17392266674442028</v>
      </c>
      <c r="C7" s="8">
        <f>Orientations!$C$4</f>
        <v>0.44929589351123933</v>
      </c>
      <c r="D7" s="8">
        <f>Orientations!$D$4</f>
        <v>0.61202871704517614</v>
      </c>
      <c r="E7" s="8">
        <f>Processing_index!$S$4</f>
        <v>0.51339238027652934</v>
      </c>
    </row>
    <row r="8" spans="1:5" x14ac:dyDescent="0.2">
      <c r="A8" t="s">
        <v>156</v>
      </c>
      <c r="B8" s="8">
        <f>Processing_index!$T$15</f>
        <v>0.23417283141449302</v>
      </c>
      <c r="C8" s="8">
        <f>Orientations!$C$5</f>
        <v>0.35687569851184336</v>
      </c>
      <c r="D8" s="8">
        <f>Orientations!$D$5</f>
        <v>0.40090031866066783</v>
      </c>
      <c r="E8" s="8">
        <f>Processing_index!$T$4</f>
        <v>0.4082114636891348</v>
      </c>
    </row>
    <row r="9" spans="1:5" x14ac:dyDescent="0.2">
      <c r="A9" t="s">
        <v>163</v>
      </c>
      <c r="B9" s="8">
        <f>Processing_index!$U$15</f>
        <v>0.36886287936698087</v>
      </c>
      <c r="C9" s="8">
        <f>Orientations!$C$6</f>
        <v>0.5107672202523813</v>
      </c>
      <c r="D9" s="8">
        <f>Orientations!$D$6</f>
        <v>0.68466426391631163</v>
      </c>
      <c r="E9" s="8">
        <f>Processing_index!$U$4</f>
        <v>0.53168491473873092</v>
      </c>
    </row>
    <row r="10" spans="1:5" x14ac:dyDescent="0.2">
      <c r="A10" t="s">
        <v>174</v>
      </c>
      <c r="B10" s="8">
        <f>Processing_index!$V$15</f>
        <v>0.35816637363864023</v>
      </c>
      <c r="C10" s="8">
        <f>Orientations!$C$7</f>
        <v>0.65898503208923942</v>
      </c>
      <c r="D10" s="8">
        <f>Orientations!$D$7</f>
        <v>0.84436186622398612</v>
      </c>
      <c r="E10" s="8">
        <f>Processing_index!$V$4</f>
        <v>0.71734079231025216</v>
      </c>
    </row>
    <row r="11" spans="1:5" x14ac:dyDescent="0.2">
      <c r="A11" t="s">
        <v>183</v>
      </c>
      <c r="B11" s="8">
        <f>Processing_index!$W$15</f>
        <v>0.31068594867071531</v>
      </c>
      <c r="C11" s="8">
        <f>Orientations!$C$8</f>
        <v>0.55546197857454915</v>
      </c>
      <c r="D11" s="8">
        <f>Orientations!$D$8</f>
        <v>0.76788110025810929</v>
      </c>
      <c r="E11" s="8">
        <f>Processing_index!$W$4</f>
        <v>0.62060694747090672</v>
      </c>
    </row>
    <row r="12" spans="1:5" x14ac:dyDescent="0.2">
      <c r="A12" t="s">
        <v>194</v>
      </c>
      <c r="B12" s="8">
        <f>Processing_index!$X$15</f>
        <v>0.2878422920892495</v>
      </c>
      <c r="C12" s="8">
        <f>Orientations!$C$9</f>
        <v>0.2983635480054091</v>
      </c>
      <c r="D12" s="8">
        <f>Orientations!$D$9</f>
        <v>0.56763426395462402</v>
      </c>
      <c r="E12" s="8">
        <f>Processing_index!$X$4</f>
        <v>0.43058584065810235</v>
      </c>
    </row>
    <row r="13" spans="1:5" x14ac:dyDescent="0.2">
      <c r="A13" t="s">
        <v>199</v>
      </c>
      <c r="B13" s="8">
        <f>Processing_index!$Y$15</f>
        <v>0.23855688878459491</v>
      </c>
      <c r="C13" s="8">
        <f>Orientations!$C$10</f>
        <v>0.43925493791498488</v>
      </c>
      <c r="D13" s="8">
        <f>Orientations!$D$10</f>
        <v>0.6492367460432088</v>
      </c>
      <c r="E13" s="8">
        <f>Processing_index!$Y$4</f>
        <v>0.55128567581699917</v>
      </c>
    </row>
  </sheetData>
  <pageMargins left="0.75" right="0.75" top="1" bottom="1" header="0.5" footer="0.5"/>
  <pageSetup orientation="landscape"/>
  <drawing r:id="rId1"/>
</worksheet>
</file>

<file path=docMetadata/LabelInfo.xml><?xml version="1.0" encoding="utf-8"?>
<clbl:labelList xmlns:clbl="http://schemas.microsoft.com/office/2020/mipLabelMetadata">
  <clbl:label id="{ed006307-e4a9-430f-af16-eea280431306}" enabled="1" method="Standard" siteId="{06219a4a-a835-44d5-afaf-3926343bfb8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README</vt:lpstr>
      <vt:lpstr>Parameters</vt:lpstr>
      <vt:lpstr>Farm_EU_data</vt:lpstr>
      <vt:lpstr>Farm_UA_data</vt:lpstr>
      <vt:lpstr>Farm_results</vt:lpstr>
      <vt:lpstr>Processing_data</vt:lpstr>
      <vt:lpstr>Processing_index</vt:lpstr>
      <vt:lpstr>TOPSIS</vt:lpstr>
      <vt:lpstr>Orientations</vt:lpstr>
      <vt:lpstr>Normalisation_check</vt:lpstr>
      <vt:lpstr>Sensitivity</vt:lpstr>
      <vt:lpstr>Transition_checks</vt:lpstr>
      <vt:lpstr>Paper_tables</vt:lpstr>
      <vt:lpstr>Paper_tables_UA</vt:lpstr>
      <vt:lpstr>Figure_1</vt:lpstr>
      <vt:lpstr>Figure_2</vt:lpstr>
      <vt:lpstr>alpha</vt:lpstr>
      <vt:lpstr>bounds</vt:lpstr>
      <vt:lpstr>delta</vt:lpstr>
      <vt:lpstr>max_year_gap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Kondratiuk Dmytro UAKI</cp:lastModifiedBy>
  <dcterms:created xsi:type="dcterms:W3CDTF">2026-10-28T08:31:19Z</dcterms:created>
  <dcterms:modified xsi:type="dcterms:W3CDTF">2026-10-28T17:37:42Z</dcterms:modified>
</cp:coreProperties>
</file>