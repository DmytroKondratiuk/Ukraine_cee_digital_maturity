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arameters" sheetId="2" state="visible" r:id="rId2"/>
    <sheet xmlns:r="http://schemas.openxmlformats.org/officeDocument/2006/relationships" name="Farm_EU_data" sheetId="3" state="visible" r:id="rId3"/>
    <sheet xmlns:r="http://schemas.openxmlformats.org/officeDocument/2006/relationships" name="Farm_UA_data" sheetId="4" state="visible" r:id="rId4"/>
    <sheet xmlns:r="http://schemas.openxmlformats.org/officeDocument/2006/relationships" name="Farm_results" sheetId="5" state="visible" r:id="rId5"/>
    <sheet xmlns:r="http://schemas.openxmlformats.org/officeDocument/2006/relationships" name="Processing_data" sheetId="6" state="visible" r:id="rId6"/>
    <sheet xmlns:r="http://schemas.openxmlformats.org/officeDocument/2006/relationships" name="Processing_index" sheetId="7" state="visible" r:id="rId7"/>
    <sheet xmlns:r="http://schemas.openxmlformats.org/officeDocument/2006/relationships" name="TOPSIS" sheetId="8" state="visible" r:id="rId8"/>
    <sheet xmlns:r="http://schemas.openxmlformats.org/officeDocument/2006/relationships" name="Orientations" sheetId="9" state="visible" r:id="rId9"/>
    <sheet xmlns:r="http://schemas.openxmlformats.org/officeDocument/2006/relationships" name="Normalisation_check" sheetId="10" state="visible" r:id="rId10"/>
    <sheet xmlns:r="http://schemas.openxmlformats.org/officeDocument/2006/relationships" name="Sensitivity" sheetId="11" state="visible" r:id="rId11"/>
    <sheet xmlns:r="http://schemas.openxmlformats.org/officeDocument/2006/relationships" name="Transition_checks" sheetId="12" state="visible" r:id="rId12"/>
    <sheet xmlns:r="http://schemas.openxmlformats.org/officeDocument/2006/relationships" name="Paper_tables" sheetId="13" state="visible" r:id="rId13"/>
    <sheet xmlns:r="http://schemas.openxmlformats.org/officeDocument/2006/relationships" name="Paper_tables_UA" sheetId="14" state="visible" r:id="rId14"/>
    <sheet xmlns:r="http://schemas.openxmlformats.org/officeDocument/2006/relationships" name="Figure_1" sheetId="15" state="visible" r:id="rId15"/>
    <sheet xmlns:r="http://schemas.openxmlformats.org/officeDocument/2006/relationships" name="Figure_2" sheetId="16" state="visible" r:id="rId16"/>
  </sheets>
  <definedNames>
    <definedName name="alpha">Parameters!$B$3</definedName>
    <definedName name="delta">Parameters!$B$4</definedName>
    <definedName name="max_year_gap">Parameters!$B$5</definedName>
    <definedName name="bounds">Parameters!$B$10:$B$13</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4">
    <font>
      <name val="Calibri"/>
      <family val="2"/>
      <color theme="1"/>
      <sz val="11"/>
      <scheme val="minor"/>
    </font>
    <font>
      <b val="1"/>
      <sz val="13"/>
    </font>
    <font>
      <b val="1"/>
    </font>
    <font>
      <i val="1"/>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0" pivotButton="0" quotePrefix="0" xfId="0"/>
    <xf numFmtId="0" fontId="0" fillId="3" borderId="0" pivotButton="0" quotePrefix="0" xfId="0"/>
    <xf numFmtId="0" fontId="2" fillId="0" borderId="0" applyAlignment="1" pivotButton="0" quotePrefix="0" xfId="0">
      <alignment vertical="top" wrapText="1"/>
    </xf>
    <xf numFmtId="164" fontId="0" fillId="0" borderId="0" pivotButton="0" quotePrefix="0" xfId="0"/>
    <xf numFmtId="2" fontId="0" fillId="0" borderId="0" pivotButton="0" quotePrefix="0" xfId="0"/>
    <xf numFmtId="165" fontId="0" fillId="0" borderId="0" pivotButton="0" quotePrefix="0" xfId="0"/>
    <xf numFmtId="1"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plotArea>
      <lineChart>
        <grouping val="standard"/>
        <ser>
          <idx val="0"/>
          <order val="0"/>
          <tx>
            <strRef>
              <f>'Figure_1'!$B$6</f>
            </strRef>
          </tx>
          <spPr>
            <a:ln xmlns:a="http://schemas.openxmlformats.org/drawingml/2006/main">
              <a:noFill/>
              <a:prstDash val="solid"/>
            </a:ln>
          </spPr>
          <marker>
            <symbol val="circle"/>
            <size val="8"/>
            <spPr>
              <a:noFill xmlns:a="http://schemas.openxmlformats.org/drawingml/2006/main"/>
              <a:ln xmlns:a="http://schemas.openxmlformats.org/drawingml/2006/main" w="12700">
                <a:solidFill>
                  <a:srgbClr val="000000"/>
                </a:solidFill>
                <a:prstDash val="solid"/>
              </a:ln>
            </spPr>
          </marker>
          <cat>
            <numRef>
              <f>'Figure_1'!$A$7:$A$16</f>
            </numRef>
          </cat>
          <val>
            <numRef>
              <f>'Figure_1'!$B$7:$B$16</f>
            </numRef>
          </val>
          <smooth val="0"/>
        </ser>
        <ser>
          <idx val="1"/>
          <order val="1"/>
          <tx>
            <strRef>
              <f>'Figure_1'!$C$6</f>
            </strRef>
          </tx>
          <spPr>
            <a:ln xmlns:a="http://schemas.openxmlformats.org/drawingml/2006/main">
              <a:noFill/>
              <a:prstDash val="solid"/>
            </a:ln>
          </spPr>
          <marker>
            <symbol val="circle"/>
            <size val="8"/>
            <spPr>
              <a:solidFill xmlns:a="http://schemas.openxmlformats.org/drawingml/2006/main">
                <a:srgbClr val="000000"/>
              </a:solidFill>
              <a:ln xmlns:a="http://schemas.openxmlformats.org/drawingml/2006/main" w="12700">
                <a:solidFill>
                  <a:srgbClr val="000000"/>
                </a:solidFill>
                <a:prstDash val="solid"/>
              </a:ln>
            </spPr>
          </marker>
          <cat>
            <numRef>
              <f>'Figure_1'!$A$7:$A$16</f>
            </numRef>
          </cat>
          <val>
            <numRef>
              <f>'Figure_1'!$C$7:$C$16</f>
            </numRef>
          </val>
          <smooth val="0"/>
        </ser>
        <ser>
          <idx val="2"/>
          <order val="2"/>
          <tx>
            <strRef>
              <f>'Figure_1'!$D$6</f>
            </strRef>
          </tx>
          <spPr>
            <a:ln xmlns:a="http://schemas.openxmlformats.org/drawingml/2006/main" w="12700">
              <a:solidFill>
                <a:srgbClr val="808080"/>
              </a:solidFill>
              <a:prstDash val="dash"/>
            </a:ln>
          </spPr>
          <marker>
            <symbol val="none"/>
            <spPr>
              <a:ln xmlns:a="http://schemas.openxmlformats.org/drawingml/2006/main">
                <a:prstDash val="solid"/>
              </a:ln>
            </spPr>
          </marker>
          <cat>
            <numRef>
              <f>'Figure_1'!$A$7:$A$16</f>
            </numRef>
          </cat>
          <val>
            <numRef>
              <f>'Figure_1'!$D$7:$D$16</f>
            </numRef>
          </val>
        </ser>
        <axId val="10"/>
        <axId val="100"/>
      </lineChart>
      <catAx>
        <axId val="10"/>
        <scaling>
          <orientation val="minMax"/>
        </scaling>
        <delete val="0"/>
        <axPos val="l"/>
        <majorTickMark val="none"/>
        <minorTickMark val="none"/>
        <tickLblPos val="low"/>
        <spPr>
          <a:ln xmlns:a="http://schemas.openxmlformats.org/drawingml/2006/main" w="6350">
            <a:solidFill>
              <a:srgbClr val="BFBFBF"/>
            </a:solidFill>
            <a:prstDash val="solid"/>
          </a:ln>
        </spPr>
        <txPr>
          <a:bodyPr xmlns:a="http://schemas.openxmlformats.org/drawingml/2006/main"/>
          <a:p xmlns:a="http://schemas.openxmlformats.org/drawingml/2006/main">
            <a:pPr>
              <a:defRPr sz="1000"/>
            </a:pPr>
            <a:r>
              <a:t/>
            </a:r>
            <a:endParaRPr sz="1000"/>
          </a:p>
        </txPr>
        <crossAx val="100"/>
        <lblOffset val="100"/>
      </catAx>
      <valAx>
        <axId val="100"/>
        <scaling>
          <logBase val="10"/>
          <orientation val="minMax"/>
          <max val="10"/>
          <min val="0.01"/>
        </scaling>
        <delete val="0"/>
        <axPos val="l"/>
        <majorGridlines>
          <spPr>
            <a:ln xmlns:a="http://schemas.openxmlformats.org/drawingml/2006/main" w="6350">
              <a:solidFill>
                <a:srgbClr val="E0E0E0"/>
              </a:solidFill>
              <a:prstDash val="solid"/>
            </a:ln>
          </spPr>
        </majorGridlines>
        <title>
          <tx>
            <strRef>
              <f>'Figure_1'!$B$5</f>
            </strRef>
          </tx>
          <overlay val="0"/>
        </title>
        <numFmt formatCode="General" sourceLinked="0"/>
        <majorTickMark val="none"/>
        <minorTickMark val="none"/>
        <spPr>
          <a:ln xmlns:a="http://schemas.openxmlformats.org/drawingml/2006/main" w="6350">
            <a:solidFill>
              <a:srgbClr val="BFBFBF"/>
            </a:solidFill>
            <a:prstDash val="solid"/>
          </a:ln>
        </spPr>
        <txPr>
          <a:bodyPr xmlns:a="http://schemas.openxmlformats.org/drawingml/2006/main"/>
          <a:p xmlns:a="http://schemas.openxmlformats.org/drawingml/2006/main">
            <a:pPr>
              <a:defRPr sz="1000"/>
            </a:pPr>
            <a:r>
              <a:t/>
            </a:r>
            <a:endParaRPr sz="1000"/>
          </a:p>
        </txPr>
        <crossAx val="10"/>
      </valAx>
    </plotArea>
    <legend>
      <legendPos val="b"/>
      <txPr>
        <a:bodyPr xmlns:a="http://schemas.openxmlformats.org/drawingml/2006/main"/>
        <a:p xmlns:a="http://schemas.openxmlformats.org/drawingml/2006/main">
          <a:pPr>
            <a:defRPr sz="1000"/>
          </a:pPr>
          <a:r>
            <a:t/>
          </a:r>
          <a:endParaRPr sz="1000"/>
        </a:p>
      </txPr>
    </legend>
    <plotVisOnly val="1"/>
    <dispBlanksAs val="gap"/>
  </chart>
</chartSpace>
</file>

<file path=xl/charts/chart2.xml><?xml version="1.0" encoding="utf-8"?>
<chartSpace xmlns="http://schemas.openxmlformats.org/drawingml/2006/chart">
  <chart>
    <plotArea>
      <lineChart>
        <grouping val="standard"/>
        <ser>
          <idx val="0"/>
          <order val="0"/>
          <tx>
            <strRef>
              <f>'Figure_2'!$B$6</f>
            </strRef>
          </tx>
          <spPr>
            <a:ln xmlns:a="http://schemas.openxmlformats.org/drawingml/2006/main">
              <a:noFill/>
              <a:prstDash val="solid"/>
            </a:ln>
          </spPr>
          <marker>
            <symbol val="circle"/>
            <size val="10"/>
            <spPr>
              <a:solidFill xmlns:a="http://schemas.openxmlformats.org/drawingml/2006/main">
                <a:srgbClr val="000000"/>
              </a:solidFill>
              <a:ln xmlns:a="http://schemas.openxmlformats.org/drawingml/2006/main" w="12700">
                <a:solidFill>
                  <a:srgbClr val="000000"/>
                </a:solidFill>
                <a:prstDash val="solid"/>
              </a:ln>
            </spPr>
          </marker>
          <cat>
            <numRef>
              <f>'Figure_2'!$A$7:$A$13</f>
            </numRef>
          </cat>
          <val>
            <numRef>
              <f>'Figure_2'!$B$7:$B$13</f>
            </numRef>
          </val>
          <smooth val="0"/>
        </ser>
        <ser>
          <idx val="1"/>
          <order val="1"/>
          <tx>
            <strRef>
              <f>'Figure_2'!$C$6</f>
            </strRef>
          </tx>
          <spPr>
            <a:ln xmlns:a="http://schemas.openxmlformats.org/drawingml/2006/main">
              <a:noFill/>
              <a:prstDash val="solid"/>
            </a:ln>
          </spPr>
          <marker>
            <symbol val="square"/>
            <size val="8"/>
            <spPr>
              <a:solidFill xmlns:a="http://schemas.openxmlformats.org/drawingml/2006/main">
                <a:srgbClr val="A6A6A6"/>
              </a:solidFill>
              <a:ln xmlns:a="http://schemas.openxmlformats.org/drawingml/2006/main" w="12700">
                <a:solidFill>
                  <a:srgbClr val="404040"/>
                </a:solidFill>
                <a:prstDash val="solid"/>
              </a:ln>
            </spPr>
          </marker>
          <cat>
            <numRef>
              <f>'Figure_2'!$A$7:$A$13</f>
            </numRef>
          </cat>
          <val>
            <numRef>
              <f>'Figure_2'!$C$7:$C$13</f>
            </numRef>
          </val>
          <smooth val="0"/>
        </ser>
        <ser>
          <idx val="2"/>
          <order val="2"/>
          <tx>
            <strRef>
              <f>'Figure_2'!$D$6</f>
            </strRef>
          </tx>
          <spPr>
            <a:ln xmlns:a="http://schemas.openxmlformats.org/drawingml/2006/main">
              <a:noFill/>
              <a:prstDash val="solid"/>
            </a:ln>
          </spPr>
          <marker>
            <symbol val="triangle"/>
            <size val="9"/>
            <spPr>
              <a:noFill xmlns:a="http://schemas.openxmlformats.org/drawingml/2006/main"/>
              <a:ln xmlns:a="http://schemas.openxmlformats.org/drawingml/2006/main" w="12700">
                <a:solidFill>
                  <a:srgbClr val="000000"/>
                </a:solidFill>
                <a:prstDash val="solid"/>
              </a:ln>
            </spPr>
          </marker>
          <cat>
            <numRef>
              <f>'Figure_2'!$A$7:$A$13</f>
            </numRef>
          </cat>
          <val>
            <numRef>
              <f>'Figure_2'!$D$7:$D$13</f>
            </numRef>
          </val>
          <smooth val="0"/>
        </ser>
        <ser>
          <idx val="3"/>
          <order val="3"/>
          <tx>
            <strRef>
              <f>'Figure_2'!$E$6</f>
            </strRef>
          </tx>
          <spPr>
            <a:ln xmlns:a="http://schemas.openxmlformats.org/drawingml/2006/main">
              <a:noFill/>
              <a:prstDash val="solid"/>
            </a:ln>
          </spPr>
          <marker>
            <symbol val="dash"/>
            <size val="12"/>
            <spPr>
              <a:solidFill xmlns:a="http://schemas.openxmlformats.org/drawingml/2006/main">
                <a:srgbClr val="000000"/>
              </a:solidFill>
              <a:ln xmlns:a="http://schemas.openxmlformats.org/drawingml/2006/main" w="12700">
                <a:solidFill>
                  <a:srgbClr val="000000"/>
                </a:solidFill>
                <a:prstDash val="solid"/>
              </a:ln>
            </spPr>
          </marker>
          <cat>
            <numRef>
              <f>'Figure_2'!$A$7:$A$13</f>
            </numRef>
          </cat>
          <val>
            <numRef>
              <f>'Figure_2'!$E$7:$E$13</f>
            </numRef>
          </val>
          <smooth val="0"/>
        </ser>
        <axId val="10"/>
        <axId val="100"/>
      </lineChart>
      <catAx>
        <axId val="10"/>
        <scaling>
          <orientation val="minMax"/>
        </scaling>
        <delete val="0"/>
        <axPos val="l"/>
        <majorTickMark val="none"/>
        <minorTickMark val="none"/>
        <spPr>
          <a:ln xmlns:a="http://schemas.openxmlformats.org/drawingml/2006/main" w="6350">
            <a:solidFill>
              <a:srgbClr val="BFBFBF"/>
            </a:solidFill>
            <a:prstDash val="solid"/>
          </a:ln>
        </spPr>
        <txPr>
          <a:bodyPr xmlns:a="http://schemas.openxmlformats.org/drawingml/2006/main"/>
          <a:p xmlns:a="http://schemas.openxmlformats.org/drawingml/2006/main">
            <a:pPr>
              <a:defRPr sz="1000"/>
            </a:pPr>
            <a:r>
              <a:t/>
            </a:r>
            <a:endParaRPr sz="1000"/>
          </a:p>
        </txPr>
        <crossAx val="100"/>
        <lblOffset val="100"/>
      </catAx>
      <valAx>
        <axId val="100"/>
        <scaling>
          <orientation val="minMax"/>
          <max val="1"/>
          <min val="0"/>
        </scaling>
        <delete val="0"/>
        <axPos val="l"/>
        <majorGridlines>
          <spPr>
            <a:ln xmlns:a="http://schemas.openxmlformats.org/drawingml/2006/main" w="6350">
              <a:solidFill>
                <a:srgbClr val="E0E0E0"/>
              </a:solidFill>
              <a:prstDash val="solid"/>
            </a:ln>
          </spPr>
        </majorGridlines>
        <title>
          <tx>
            <strRef>
              <f>'Figure_2'!$B$5</f>
            </strRef>
          </tx>
          <overlay val="0"/>
        </title>
        <numFmt formatCode="0.0" sourceLinked="0"/>
        <majorTickMark val="none"/>
        <minorTickMark val="none"/>
        <spPr>
          <a:ln xmlns:a="http://schemas.openxmlformats.org/drawingml/2006/main" w="6350">
            <a:solidFill>
              <a:srgbClr val="BFBFBF"/>
            </a:solidFill>
            <a:prstDash val="solid"/>
          </a:ln>
        </spPr>
        <txPr>
          <a:bodyPr xmlns:a="http://schemas.openxmlformats.org/drawingml/2006/main"/>
          <a:p xmlns:a="http://schemas.openxmlformats.org/drawingml/2006/main">
            <a:pPr>
              <a:defRPr sz="1000"/>
            </a:pPr>
            <a:r>
              <a:t/>
            </a:r>
            <a:endParaRPr sz="1000"/>
          </a:p>
        </txPr>
        <crossAx val="10"/>
        <majorUnit val="0.2"/>
      </valAx>
    </plotArea>
    <legend>
      <legendPos val="b"/>
      <txPr>
        <a:bodyPr xmlns:a="http://schemas.openxmlformats.org/drawingml/2006/main"/>
        <a:p xmlns:a="http://schemas.openxmlformats.org/drawingml/2006/main">
          <a:pPr>
            <a:defRPr sz="1000"/>
          </a:pPr>
          <a:r>
            <a:t/>
          </a:r>
          <a:endParaRPr sz="100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2</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60" customWidth="1" min="1" max="1"/>
  </cols>
  <sheetData>
    <row r="1">
      <c r="A1" s="1" t="inlineStr">
        <is>
          <t>UA-CEE workbook: hand-checkable calculations of the paper</t>
        </is>
      </c>
    </row>
    <row r="3">
      <c r="A3" s="2" t="inlineStr">
        <is>
          <t>Every number on the calculation sheets is an Excel formula. Blue cells are values copied from the official API responses stored in data/raw (each row has its link); yellow cells on Parameters may be changed and every sheet recalculates.</t>
        </is>
      </c>
    </row>
    <row r="5">
      <c r="A5" s="3" t="inlineStr">
        <is>
          <t>Sheets</t>
        </is>
      </c>
    </row>
    <row r="6">
      <c r="A6" s="2" t="inlineStr">
        <is>
          <t>Parameters: weak-link penalty alpha and delta, maturity-level bounds, maximum year gap for the year-aligned check.</t>
        </is>
      </c>
    </row>
    <row r="7">
      <c r="A7" s="2" t="inlineStr">
        <is>
          <t>Farm_EU_data: Eurostat IFS 2023, share of holdings using ten digital technologies, all and large holdings, all 27 member states and EU-27; the EU leader of each technology is found with MAX/INDEX/MATCH.</t>
        </is>
      </c>
    </row>
    <row r="8">
      <c r="A8" s="2" t="inlineStr">
        <is>
          <t>Farm_UA_data: Derzhstat 2025, number of enterprises using each technology and number of enterprises with agricultural land; the Ukrainian share is an estimate (numerator and denominator come from different surveys). For the large-holding basis the four livestock technologies are divided by the number of enterprises keeping farm animals (Derzhstat, 2024), because the EU large-holding livestock shares are shares of livestock holdings.</t>
        </is>
      </c>
    </row>
    <row r="9">
      <c r="A9" s="2" t="inlineStr">
        <is>
          <t>Farm_results: shares and ratios to the EU, median ratios, partial layer scores DM_C (robotics) and DM_L3 (nine precision technologies) for both EU bases.</t>
        </is>
      </c>
    </row>
    <row r="10">
      <c r="A10" s="2" t="inlineStr">
        <is>
          <t>Processing_data: food processing (NACE C10-C12), 17 indicator pairs Eurostat / Derzhstat with the values of all 27 member states, EU-27 and Ukraine; leader (MAX) and minimum (MIN) over the member states.</t>
        </is>
      </c>
    </row>
    <row r="11">
      <c r="A11" s="2" t="inlineStr">
        <is>
          <t>Processing_index: indicator scores P / P_leader, layer scores, ADMI_base, weakest layer, penalty, ADMI, maturity level, DM_I, DM_S and ranks.</t>
        </is>
      </c>
    </row>
    <row r="12">
      <c r="A12" s="2" t="inlineStr">
        <is>
          <t>TOPSIS: robustness check with entropy and equal weights, Spearman and Pearson correlations with ADMI.</t>
        </is>
      </c>
    </row>
    <row r="13">
      <c r="A13" s="2" t="inlineStr">
        <is>
          <t>Orientations: mean profiles of the CEE countries at levels 3 and 4 and the gap of Ukraine to level 3.</t>
        </is>
      </c>
    </row>
    <row r="14">
      <c r="A14" s="2" t="inlineStr">
        <is>
          <t>Normalisation_check: the same index with min-max normalisation over the member states, ranks and Spearman correlation.</t>
        </is>
      </c>
    </row>
    <row r="15">
      <c r="A15" s="2" t="inlineStr">
        <is>
          <t>Sensitivity: the ranking under alpha from 0 to 1, delta from 0.25 to 0.55, the geometric mean of the layers, each of the 13 indicators removed in turn, each of the five layers removed in turn, and the year-aligned subset of indicators; each variant gives the Spearman correlation with the baseline ranking and the number of units whose rank changed. The last section moves the device indicator (portable devices of employees) from L3 to L1 and reports the ranking, levels, weakest layers, penalised units and the agreement with TOPSIS on the moved layers.</t>
        </is>
      </c>
    </row>
    <row r="16">
      <c r="A16" s="2" t="inlineStr">
        <is>
          <t>Transition_checks: two expectations from the transition literature: each unit relative to EU-27 for the processing ADMI and the farm partial layer scores (two-speed transformation), and the median ratio of the share among large holdings to the share among all holdings for robotics and the five crop technologies (concentration of adoption, dualism).</t>
        </is>
      </c>
    </row>
    <row r="17">
      <c r="A17" s="2" t="inlineStr">
        <is>
          <t>Paper_tables: every table of the paper (Tables 1-8 and Appendix Tables A1-A2) in the order and shape of the paper; each number is a formula pointing to the calculation sheets.</t>
        </is>
      </c>
    </row>
    <row r="18">
      <c r="A18" s="2" t="inlineStr">
        <is>
          <t>Paper_tables_UA: the same tables with Ukrainian captions, headers and labels (same formulas), for the Ukrainian version of the paper.</t>
        </is>
      </c>
    </row>
    <row r="19">
      <c r="A19" s="2" t="inlineStr">
        <is>
          <t>Figure_1: ratio of the Ukrainian farm share to the EU-27 share for each technology, all and large holdings, log scale (Excel chart, data from Farm_results).</t>
        </is>
      </c>
    </row>
    <row r="20">
      <c r="A20" s="2" t="inlineStr">
        <is>
          <t>Figure_2: layer profile of Ukrainian food processing against the mean profiles of level-3 and level-4 CEE countries and EU-27 (Excel chart, data from Processing_index and Orientations).</t>
        </is>
      </c>
    </row>
    <row r="21">
      <c r="A21" s="2" t="inlineStr">
        <is>
          <t>On Figure_1 and Figure_2 the yellow cell B3 switches the chart labels between English (EN) and Ukrainian (UA). The charts use black and grey only and stay readable in black-and-white print.</t>
        </is>
      </c>
    </row>
    <row r="23">
      <c r="A23" s="3" t="inlineStr">
        <is>
          <t>Rules</t>
        </is>
      </c>
    </row>
    <row r="24">
      <c r="A24" s="2" t="inlineStr">
        <is>
          <t>Level = 1 + number of bounds strictly below the index rounded to 12 decimals; a value on a bound belongs to the lower level.</t>
        </is>
      </c>
    </row>
    <row r="25">
      <c r="A25" s="2" t="inlineStr">
        <is>
          <t>Ranks: 1 = highest value, computed with COUNTIF. The median of ten ratios is the mean of the 5th and 6th smallest values.</t>
        </is>
      </c>
    </row>
    <row r="26">
      <c r="A26" s="2" t="inlineStr">
        <is>
          <t>Missing values (not published) are left empty and skipped by AVERAGE, MAX and MIN.</t>
        </is>
      </c>
    </row>
    <row r="28">
      <c r="A28" s="3" t="inlineStr">
        <is>
          <t>Verification</t>
        </is>
      </c>
    </row>
    <row r="29">
      <c r="A29" s="2" t="inlineStr">
        <is>
          <t>Before release every formula of this workbook was evaluated with an independent engine (pycel) and compared with a separate Python implementation of the same calculations; all values agreed within 1e-9.</t>
        </is>
      </c>
    </row>
    <row r="30">
      <c r="A30" s="2" t="inlineStr">
        <is>
          <t>Spearman correlations use 1 - 6 * sum(d^2) / (n (n^2 - 1)) with n = 10 (nine CEE countries and Ukraine).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4" customWidth="1" min="1" max="1"/>
    <col width="50" customWidth="1" min="3" max="3"/>
  </cols>
  <sheetData>
    <row r="1">
      <c r="A1" s="1" t="inlineStr">
        <is>
          <t>Parameters (yellow cells may be changed)</t>
        </is>
      </c>
    </row>
    <row r="3">
      <c r="A3" t="inlineStr">
        <is>
          <t>alpha</t>
        </is>
      </c>
      <c r="B3" s="4" t="n">
        <v>0.4</v>
      </c>
      <c r="C3" t="inlineStr">
        <is>
          <t>weak-link penalty strength</t>
        </is>
      </c>
    </row>
    <row r="4">
      <c r="A4" t="inlineStr">
        <is>
          <t>delta</t>
        </is>
      </c>
      <c r="B4" s="4" t="n">
        <v>0.375</v>
      </c>
      <c r="C4" t="inlineStr">
        <is>
          <t>weak-link threshold</t>
        </is>
      </c>
    </row>
    <row r="5">
      <c r="A5" t="inlineStr">
        <is>
          <t>max_year_gap</t>
        </is>
      </c>
      <c r="B5" s="4" t="n">
        <v>1</v>
      </c>
      <c r="C5" t="inlineStr">
        <is>
          <t>Sensitivity: largest allowed difference between the EU and Ukrainian years of an indicator pair</t>
        </is>
      </c>
    </row>
    <row r="9">
      <c r="A9" s="3" t="inlineStr">
        <is>
          <t>level bounds</t>
        </is>
      </c>
    </row>
    <row r="10">
      <c r="B10" s="4" t="n">
        <v>0.2</v>
      </c>
    </row>
    <row r="11">
      <c r="B11" s="4" t="n">
        <v>0.4</v>
      </c>
    </row>
    <row r="12">
      <c r="B12" s="4" t="n">
        <v>0.6</v>
      </c>
    </row>
    <row r="13">
      <c r="B13" s="4" t="n">
        <v>0.8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28"/>
  <sheetViews>
    <sheetView workbookViewId="0">
      <selection activeCell="A1" sqref="A1"/>
    </sheetView>
  </sheetViews>
  <sheetFormatPr baseColWidth="8" defaultRowHeight="15"/>
  <sheetData>
    <row r="1">
      <c r="A1" s="1" t="inlineStr">
        <is>
          <t>Eurostat IFS 2023: share of holdings using the technology, % (holdings above the survey thresholds)</t>
        </is>
      </c>
    </row>
    <row r="3">
      <c r="A3" s="3" t="inlineStr">
        <is>
          <t>all holdings</t>
        </is>
      </c>
    </row>
    <row r="4">
      <c r="A4" s="3" t="inlineStr">
        <is>
          <t>Technology</t>
        </is>
      </c>
      <c r="B4" s="3" t="inlineStr">
        <is>
          <t>Eurostat dataset</t>
        </is>
      </c>
      <c r="C4" s="3" t="inlineStr">
        <is>
          <t>Code</t>
        </is>
      </c>
      <c r="D4" s="3" t="inlineStr">
        <is>
          <t>AT</t>
        </is>
      </c>
      <c r="E4" s="3" t="inlineStr">
        <is>
          <t>BE</t>
        </is>
      </c>
      <c r="F4" s="3" t="inlineStr">
        <is>
          <t>BG</t>
        </is>
      </c>
      <c r="G4" s="3" t="inlineStr">
        <is>
          <t>CY</t>
        </is>
      </c>
      <c r="H4" s="3" t="inlineStr">
        <is>
          <t>CZ</t>
        </is>
      </c>
      <c r="I4" s="3" t="inlineStr">
        <is>
          <t>DE</t>
        </is>
      </c>
      <c r="J4" s="3" t="inlineStr">
        <is>
          <t>DK</t>
        </is>
      </c>
      <c r="K4" s="3" t="inlineStr">
        <is>
          <t>EE</t>
        </is>
      </c>
      <c r="L4" s="3" t="inlineStr">
        <is>
          <t>EL</t>
        </is>
      </c>
      <c r="M4" s="3" t="inlineStr">
        <is>
          <t>ES</t>
        </is>
      </c>
      <c r="N4" s="3" t="inlineStr">
        <is>
          <t>FI</t>
        </is>
      </c>
      <c r="O4" s="3" t="inlineStr">
        <is>
          <t>FR</t>
        </is>
      </c>
      <c r="P4" s="3" t="inlineStr">
        <is>
          <t>HR</t>
        </is>
      </c>
      <c r="Q4" s="3" t="inlineStr">
        <is>
          <t>HU</t>
        </is>
      </c>
      <c r="R4" s="3" t="inlineStr">
        <is>
          <t>IE</t>
        </is>
      </c>
      <c r="S4" s="3" t="inlineStr">
        <is>
          <t>IT</t>
        </is>
      </c>
      <c r="T4" s="3" t="inlineStr">
        <is>
          <t>LT</t>
        </is>
      </c>
      <c r="U4" s="3" t="inlineStr">
        <is>
          <t>LU</t>
        </is>
      </c>
      <c r="V4" s="3" t="inlineStr">
        <is>
          <t>LV</t>
        </is>
      </c>
      <c r="W4" s="3" t="inlineStr">
        <is>
          <t>MT</t>
        </is>
      </c>
      <c r="X4" s="3" t="inlineStr">
        <is>
          <t>NL</t>
        </is>
      </c>
      <c r="Y4" s="3" t="inlineStr">
        <is>
          <t>PL</t>
        </is>
      </c>
      <c r="Z4" s="3" t="inlineStr">
        <is>
          <t>PT</t>
        </is>
      </c>
      <c r="AA4" s="3" t="inlineStr">
        <is>
          <t>RO</t>
        </is>
      </c>
      <c r="AB4" s="3" t="inlineStr">
        <is>
          <t>SE</t>
        </is>
      </c>
      <c r="AC4" s="3" t="inlineStr">
        <is>
          <t>SI</t>
        </is>
      </c>
      <c r="AD4" s="3" t="inlineStr">
        <is>
          <t>SK</t>
        </is>
      </c>
      <c r="AE4" s="3" t="inlineStr">
        <is>
          <t>EU27_2020</t>
        </is>
      </c>
      <c r="AF4" s="3" t="inlineStr">
        <is>
          <t>Leader value</t>
        </is>
      </c>
      <c r="AG4" s="3" t="inlineStr">
        <is>
          <t>Leader</t>
        </is>
      </c>
      <c r="AH4" s="3" t="inlineStr">
        <is>
          <t>Link</t>
        </is>
      </c>
    </row>
    <row r="5">
      <c r="A5" t="inlineStr">
        <is>
          <t>ROBOTICS</t>
        </is>
      </c>
      <c r="B5" t="inlineStr">
        <is>
          <t>ef_mp_digi</t>
        </is>
      </c>
      <c r="C5" t="inlineStr">
        <is>
          <t>MAC_ROB</t>
        </is>
      </c>
      <c r="D5" s="5" t="n">
        <v>3.84</v>
      </c>
      <c r="E5" s="5" t="n">
        <v>21.19</v>
      </c>
      <c r="F5" s="5" t="n">
        <v>0.5600000000000001</v>
      </c>
      <c r="G5" s="5" t="n">
        <v>0.5</v>
      </c>
      <c r="H5" s="5" t="n">
        <v>3.41</v>
      </c>
      <c r="I5" s="5" t="n">
        <v>18.26</v>
      </c>
      <c r="J5" s="5" t="n">
        <v>21.11</v>
      </c>
      <c r="K5" s="5" t="n">
        <v>8.029999999999999</v>
      </c>
      <c r="L5" s="5" t="n">
        <v>0.43</v>
      </c>
      <c r="M5" s="5" t="n">
        <v>15.35</v>
      </c>
      <c r="N5" s="5" t="n">
        <v>19.15</v>
      </c>
      <c r="O5" s="5" t="n">
        <v>22.42</v>
      </c>
      <c r="P5" s="5" t="n">
        <v>2.08</v>
      </c>
      <c r="Q5" s="5" t="n">
        <v>2.62</v>
      </c>
      <c r="R5" s="5" t="n">
        <v>8</v>
      </c>
      <c r="S5" s="5" t="n">
        <v>4.46</v>
      </c>
      <c r="T5" s="5" t="n">
        <v>0.46</v>
      </c>
      <c r="U5" s="5" t="n">
        <v>24.02</v>
      </c>
      <c r="V5" s="5" t="n">
        <v>4.68</v>
      </c>
      <c r="W5" s="5" t="n">
        <v>3.69</v>
      </c>
      <c r="X5" s="5" t="n">
        <v>35.02</v>
      </c>
      <c r="Y5" s="5" t="n">
        <v>1.34</v>
      </c>
      <c r="Z5" s="5" t="n">
        <v>0.39</v>
      </c>
      <c r="AA5" s="5" t="n">
        <v>3.26</v>
      </c>
      <c r="AB5" s="5" t="n">
        <v>12.22</v>
      </c>
      <c r="AC5" s="5" t="n">
        <v>1.59</v>
      </c>
      <c r="AD5" s="5" t="n">
        <v>1.31</v>
      </c>
      <c r="AE5" s="5" t="n">
        <v>6.79</v>
      </c>
      <c r="AF5">
        <f>MAX(D5:AD5)</f>
        <v/>
      </c>
      <c r="AG5">
        <f>INDEX($D$4:$AD$4,MATCH(AF5,D5:AD5,0))</f>
        <v/>
      </c>
      <c r="AH5" t="inlineStr">
        <is>
          <t>https://doi.org/10.2908/EF_MP_DIGI</t>
        </is>
      </c>
    </row>
    <row r="6">
      <c r="A6" t="inlineStr">
        <is>
          <t>MAC_ROB_PPP</t>
        </is>
      </c>
      <c r="B6" t="inlineStr">
        <is>
          <t>ef_mp_digicr</t>
        </is>
      </c>
      <c r="C6" t="inlineStr">
        <is>
          <t>MAC_ROB_PPP</t>
        </is>
      </c>
      <c r="D6" s="5" t="n">
        <v>0.08</v>
      </c>
      <c r="E6" s="5" t="n">
        <v>6.23</v>
      </c>
      <c r="F6" s="5" t="n">
        <v>0.26</v>
      </c>
      <c r="G6" s="5" t="n">
        <v>0.04</v>
      </c>
      <c r="H6" s="5" t="n">
        <v>0.86</v>
      </c>
      <c r="I6" s="5" t="n">
        <v>3.27</v>
      </c>
      <c r="J6" s="5" t="n">
        <v>19.65</v>
      </c>
      <c r="K6" s="5" t="n">
        <v>5.04</v>
      </c>
      <c r="L6" s="5" t="n">
        <v>0.1</v>
      </c>
      <c r="M6" s="5" t="n">
        <v>1.91</v>
      </c>
      <c r="N6" s="5" t="n">
        <v>12.43</v>
      </c>
      <c r="O6" s="5" t="n">
        <v>12.98</v>
      </c>
      <c r="P6" s="5" t="n">
        <v>0.18</v>
      </c>
      <c r="Q6" s="5" t="n">
        <v>1.01</v>
      </c>
      <c r="R6" s="5" t="n">
        <v>7.52</v>
      </c>
      <c r="S6" s="5" t="n">
        <v>0.11</v>
      </c>
      <c r="T6" s="5" t="n">
        <v>0.05</v>
      </c>
      <c r="U6" s="5" t="n">
        <v>2.86</v>
      </c>
      <c r="V6" s="5" t="n">
        <v>2.72</v>
      </c>
      <c r="X6" s="5" t="n">
        <v>6.75</v>
      </c>
      <c r="Y6" s="5" t="n">
        <v>0.22</v>
      </c>
      <c r="Z6" s="5" t="n">
        <v>0.21</v>
      </c>
      <c r="AA6" s="5" t="n">
        <v>0.14</v>
      </c>
      <c r="AB6" s="5" t="n">
        <v>4.73</v>
      </c>
      <c r="AD6" s="5" t="n">
        <v>0.59</v>
      </c>
      <c r="AE6" s="5" t="n">
        <v>1.76</v>
      </c>
      <c r="AF6">
        <f>MAX(D6:AD6)</f>
        <v/>
      </c>
      <c r="AG6">
        <f>INDEX($D$4:$AD$4,MATCH(AF6,D6:AD6,0))</f>
        <v/>
      </c>
      <c r="AH6" t="inlineStr">
        <is>
          <t>https://doi.org/10.2908/EF_MP_DIGICR</t>
        </is>
      </c>
    </row>
    <row r="7">
      <c r="A7" t="inlineStr">
        <is>
          <t>BAND_SPRAY_PPP</t>
        </is>
      </c>
      <c r="B7" t="inlineStr">
        <is>
          <t>ef_mp_digicr</t>
        </is>
      </c>
      <c r="C7" t="inlineStr">
        <is>
          <t>MAC_BDS_PPP</t>
        </is>
      </c>
      <c r="D7" s="5" t="n">
        <v>2.35</v>
      </c>
      <c r="E7" s="5" t="n">
        <v>7.68</v>
      </c>
      <c r="F7" s="5" t="n">
        <v>0.29</v>
      </c>
      <c r="G7" s="5" t="n">
        <v>0.02</v>
      </c>
      <c r="H7" s="5" t="n">
        <v>0.76</v>
      </c>
      <c r="I7" s="5" t="n">
        <v>7.7</v>
      </c>
      <c r="J7" s="5" t="n">
        <v>2.61</v>
      </c>
      <c r="K7" s="5" t="n">
        <v>4.75</v>
      </c>
      <c r="L7" s="5" t="n">
        <v>3.17</v>
      </c>
      <c r="M7" s="5" t="n">
        <v>7.26</v>
      </c>
      <c r="N7" s="5" t="n">
        <v>2.92</v>
      </c>
      <c r="O7" s="5" t="n">
        <v>4.98</v>
      </c>
      <c r="P7" s="5" t="n">
        <v>4.83</v>
      </c>
      <c r="Q7" s="5" t="n">
        <v>3.34</v>
      </c>
      <c r="R7" s="5" t="n">
        <v>3.21</v>
      </c>
      <c r="S7" s="5" t="n">
        <v>0.14</v>
      </c>
      <c r="T7" s="5" t="n">
        <v>0.43</v>
      </c>
      <c r="U7" s="5" t="n">
        <v>9.140000000000001</v>
      </c>
      <c r="V7" s="5" t="n">
        <v>1.39</v>
      </c>
      <c r="W7" s="5" t="n">
        <v>0.39</v>
      </c>
      <c r="X7" s="5" t="n">
        <v>3.43</v>
      </c>
      <c r="Y7" s="5" t="n">
        <v>12.66</v>
      </c>
      <c r="Z7" s="5" t="n">
        <v>0.72</v>
      </c>
      <c r="AA7" s="5" t="n">
        <v>0.45</v>
      </c>
      <c r="AB7" s="5" t="n">
        <v>1.28</v>
      </c>
      <c r="AD7" s="5" t="n">
        <v>0.18</v>
      </c>
      <c r="AE7" s="5" t="n">
        <v>4.21</v>
      </c>
      <c r="AF7">
        <f>MAX(D7:AD7)</f>
        <v/>
      </c>
      <c r="AG7">
        <f>INDEX($D$4:$AD$4,MATCH(AF7,D7:AD7,0))</f>
        <v/>
      </c>
      <c r="AH7" t="inlineStr">
        <is>
          <t>https://doi.org/10.2908/EF_MP_DIGICR</t>
        </is>
      </c>
    </row>
    <row r="8">
      <c r="A8" t="inlineStr">
        <is>
          <t>VAR_RATE_TECH</t>
        </is>
      </c>
      <c r="B8" t="inlineStr">
        <is>
          <t>ef_mp_digicr</t>
        </is>
      </c>
      <c r="C8" t="inlineStr">
        <is>
          <t>MAC_VRT</t>
        </is>
      </c>
      <c r="D8" s="5" t="n">
        <v>6.44</v>
      </c>
      <c r="E8" s="5" t="n">
        <v>9.220000000000001</v>
      </c>
      <c r="F8" s="5" t="n">
        <v>0.9</v>
      </c>
      <c r="G8" s="5" t="n">
        <v>0.08</v>
      </c>
      <c r="H8" s="5" t="n">
        <v>3.36</v>
      </c>
      <c r="I8" s="5" t="n">
        <v>18.59</v>
      </c>
      <c r="J8" s="5" t="n">
        <v>11.18</v>
      </c>
      <c r="K8" s="5" t="n">
        <v>9.6</v>
      </c>
      <c r="L8" s="5" t="n">
        <v>1.59</v>
      </c>
      <c r="M8" s="5" t="n">
        <v>3.99</v>
      </c>
      <c r="N8" s="5" t="n">
        <v>9.050000000000001</v>
      </c>
      <c r="O8" s="5" t="n">
        <v>3.87</v>
      </c>
      <c r="P8" s="5" t="n">
        <v>1.9</v>
      </c>
      <c r="Q8" s="5" t="n">
        <v>5.8</v>
      </c>
      <c r="R8" s="5" t="n">
        <v>2.49</v>
      </c>
      <c r="S8" s="5" t="n">
        <v>4.28</v>
      </c>
      <c r="T8" s="5" t="n">
        <v>0.87</v>
      </c>
      <c r="U8" s="5" t="n">
        <v>15.43</v>
      </c>
      <c r="V8" s="5" t="n">
        <v>4.08</v>
      </c>
      <c r="W8" s="5" t="n">
        <v>3.12</v>
      </c>
      <c r="X8" s="5" t="n">
        <v>11.32</v>
      </c>
      <c r="Y8" s="5" t="n">
        <v>13.69</v>
      </c>
      <c r="Z8" s="5" t="n">
        <v>0.36</v>
      </c>
      <c r="AA8" s="5" t="n">
        <v>0.78</v>
      </c>
      <c r="AB8" s="5" t="n">
        <v>4.81</v>
      </c>
      <c r="AD8" s="5" t="n">
        <v>0.71</v>
      </c>
      <c r="AE8" s="5" t="n">
        <v>5.32</v>
      </c>
      <c r="AF8">
        <f>MAX(D8:AD8)</f>
        <v/>
      </c>
      <c r="AG8">
        <f>INDEX($D$4:$AD$4,MATCH(AF8,D8:AD8,0))</f>
        <v/>
      </c>
      <c r="AH8" t="inlineStr">
        <is>
          <t>https://doi.org/10.2908/EF_MP_DIGICR</t>
        </is>
      </c>
    </row>
    <row r="9">
      <c r="A9" t="inlineStr">
        <is>
          <t>PREC_MON_CROPS</t>
        </is>
      </c>
      <c r="B9" t="inlineStr">
        <is>
          <t>ef_mp_digicr</t>
        </is>
      </c>
      <c r="C9" t="inlineStr">
        <is>
          <t>MAC_PMON_CR</t>
        </is>
      </c>
      <c r="D9" s="5" t="n">
        <v>1.88</v>
      </c>
      <c r="E9" s="5" t="n">
        <v>6.54</v>
      </c>
      <c r="F9" s="5" t="n">
        <v>0.43</v>
      </c>
      <c r="G9" s="5" t="n">
        <v>0.04</v>
      </c>
      <c r="H9" s="5" t="n">
        <v>1.77</v>
      </c>
      <c r="I9" s="5" t="n">
        <v>20.96</v>
      </c>
      <c r="J9" s="5" t="n">
        <v>4.59</v>
      </c>
      <c r="K9" s="5" t="n">
        <v>4.66</v>
      </c>
      <c r="L9" s="5" t="n">
        <v>0.36</v>
      </c>
      <c r="M9" s="5" t="n">
        <v>2.47</v>
      </c>
      <c r="N9" s="5" t="n">
        <v>9.43</v>
      </c>
      <c r="O9" s="5" t="n">
        <v>13.45</v>
      </c>
      <c r="P9" s="5" t="n">
        <v>0.73</v>
      </c>
      <c r="Q9" s="5" t="n">
        <v>5.32</v>
      </c>
      <c r="R9" s="5" t="n">
        <v>1.7</v>
      </c>
      <c r="S9" s="5" t="n">
        <v>1.61</v>
      </c>
      <c r="T9" s="5" t="n">
        <v>0.82</v>
      </c>
      <c r="U9" s="5" t="n">
        <v>4</v>
      </c>
      <c r="V9" s="5" t="n">
        <v>1.09</v>
      </c>
      <c r="W9" s="5" t="n">
        <v>3.12</v>
      </c>
      <c r="X9" s="5" t="n">
        <v>2.67</v>
      </c>
      <c r="Y9" s="5" t="n">
        <v>2.82</v>
      </c>
      <c r="Z9" s="5" t="n">
        <v>1.13</v>
      </c>
      <c r="AA9" s="5" t="n">
        <v>0.37</v>
      </c>
      <c r="AB9" s="5" t="n">
        <v>1.21</v>
      </c>
      <c r="AC9" s="5" t="n">
        <v>0.68</v>
      </c>
      <c r="AD9" s="5" t="n">
        <v>0.41</v>
      </c>
      <c r="AE9" s="5" t="n">
        <v>3.23</v>
      </c>
      <c r="AF9">
        <f>MAX(D9:AD9)</f>
        <v/>
      </c>
      <c r="AG9">
        <f>INDEX($D$4:$AD$4,MATCH(AF9,D9:AD9,0))</f>
        <v/>
      </c>
      <c r="AH9" t="inlineStr">
        <is>
          <t>https://doi.org/10.2908/EF_MP_DIGICR</t>
        </is>
      </c>
    </row>
    <row r="10">
      <c r="A10" t="inlineStr">
        <is>
          <t>SOIL_ANALYSIS</t>
        </is>
      </c>
      <c r="B10" t="inlineStr">
        <is>
          <t>ef_mp_digicr</t>
        </is>
      </c>
      <c r="C10" t="inlineStr">
        <is>
          <t>MAC_ASOIL</t>
        </is>
      </c>
      <c r="D10" s="5" t="n">
        <v>9.380000000000001</v>
      </c>
      <c r="E10" s="5" t="n">
        <v>46.39</v>
      </c>
      <c r="F10" s="5" t="n">
        <v>1.59</v>
      </c>
      <c r="G10" s="5" t="n">
        <v>0.08</v>
      </c>
      <c r="H10" s="5" t="n">
        <v>1.34</v>
      </c>
      <c r="I10" s="5" t="n">
        <v>37.79</v>
      </c>
      <c r="J10" s="5" t="n">
        <v>24.86</v>
      </c>
      <c r="K10" s="5" t="n">
        <v>29.75</v>
      </c>
      <c r="L10" s="5" t="n">
        <v>2.43</v>
      </c>
      <c r="M10" s="5" t="n">
        <v>10.11</v>
      </c>
      <c r="N10" s="5" t="n">
        <v>58.25</v>
      </c>
      <c r="O10" s="5" t="n">
        <v>41.33</v>
      </c>
      <c r="P10" s="5" t="n">
        <v>9.640000000000001</v>
      </c>
      <c r="Q10" s="5" t="n">
        <v>5.59</v>
      </c>
      <c r="R10" s="5" t="n">
        <v>40.58</v>
      </c>
      <c r="S10" s="5" t="n">
        <v>6.25</v>
      </c>
      <c r="T10" s="5" t="n">
        <v>2.37</v>
      </c>
      <c r="U10" s="5" t="n">
        <v>63.43</v>
      </c>
      <c r="V10" s="5" t="n">
        <v>5.47</v>
      </c>
      <c r="W10" s="5" t="n">
        <v>26.56</v>
      </c>
      <c r="X10" s="5" t="n">
        <v>1.71</v>
      </c>
      <c r="Y10" s="5" t="n">
        <v>12.31</v>
      </c>
      <c r="Z10" s="5" t="n">
        <v>10.2</v>
      </c>
      <c r="AA10" s="5" t="n">
        <v>0.3</v>
      </c>
      <c r="AB10" s="5" t="n">
        <v>11.68</v>
      </c>
      <c r="AC10" s="5" t="n">
        <v>13.89</v>
      </c>
      <c r="AD10" s="5" t="n">
        <v>0.65</v>
      </c>
      <c r="AE10" s="5" t="n">
        <v>11.35</v>
      </c>
      <c r="AF10">
        <f>MAX(D10:AD10)</f>
        <v/>
      </c>
      <c r="AG10">
        <f>INDEX($D$4:$AD$4,MATCH(AF10,D10:AD10,0))</f>
        <v/>
      </c>
      <c r="AH10" t="inlineStr">
        <is>
          <t>https://doi.org/10.2908/EF_MP_DIGICR</t>
        </is>
      </c>
    </row>
    <row r="11">
      <c r="A11" t="inlineStr">
        <is>
          <t>AUTO_FEED_SYS</t>
        </is>
      </c>
      <c r="B11" t="inlineStr">
        <is>
          <t>ef_mp_digilsk</t>
        </is>
      </c>
      <c r="C11" t="inlineStr">
        <is>
          <t>MAC_AFDS</t>
        </is>
      </c>
      <c r="D11" s="5" t="n">
        <v>10.88</v>
      </c>
      <c r="E11" s="5" t="n">
        <v>11.61</v>
      </c>
      <c r="F11" s="5" t="n">
        <v>0.36</v>
      </c>
      <c r="G11" s="5" t="n">
        <v>0.83</v>
      </c>
      <c r="H11" s="5" t="n">
        <v>1.69</v>
      </c>
      <c r="I11" s="5" t="n">
        <v>12.01</v>
      </c>
      <c r="J11" s="5" t="n">
        <v>8.960000000000001</v>
      </c>
      <c r="K11" s="5" t="n">
        <v>2.05</v>
      </c>
      <c r="L11" s="5" t="n">
        <v>0.22</v>
      </c>
      <c r="M11" s="5" t="n">
        <v>2.87</v>
      </c>
      <c r="N11" s="5" t="n">
        <v>6.49</v>
      </c>
      <c r="O11" s="5" t="n">
        <v>5.84</v>
      </c>
      <c r="P11" s="5" t="n">
        <v>0.5</v>
      </c>
      <c r="Q11" s="5" t="n">
        <v>1.5</v>
      </c>
      <c r="S11" s="5" t="n">
        <v>1.29</v>
      </c>
      <c r="T11" s="5" t="n">
        <v>0.19</v>
      </c>
      <c r="U11" s="5" t="n">
        <v>15.08</v>
      </c>
      <c r="V11" s="5" t="n">
        <v>0.29</v>
      </c>
      <c r="W11" s="5" t="n">
        <v>3.32</v>
      </c>
      <c r="X11" s="5" t="n">
        <v>15.17</v>
      </c>
      <c r="Y11" s="5" t="n">
        <v>1.98</v>
      </c>
      <c r="Z11" s="5" t="n">
        <v>0.89</v>
      </c>
      <c r="AA11" s="5" t="n">
        <v>0.37</v>
      </c>
      <c r="AB11" s="5" t="n">
        <v>6.05</v>
      </c>
      <c r="AC11" s="5" t="n">
        <v>1.38</v>
      </c>
      <c r="AD11" s="5" t="n">
        <v>0.63</v>
      </c>
      <c r="AE11" s="5" t="n">
        <v>2.44</v>
      </c>
      <c r="AF11">
        <f>MAX(D11:AD11)</f>
        <v/>
      </c>
      <c r="AG11">
        <f>INDEX($D$4:$AD$4,MATCH(AF11,D11:AD11,0))</f>
        <v/>
      </c>
      <c r="AH11" t="inlineStr">
        <is>
          <t>https://doi.org/10.2908/EF_MP_DIGILSK</t>
        </is>
      </c>
    </row>
    <row r="12">
      <c r="A12" t="inlineStr">
        <is>
          <t>MILK_ROBOTS</t>
        </is>
      </c>
      <c r="B12" t="inlineStr">
        <is>
          <t>ef_mp_digilsk</t>
        </is>
      </c>
      <c r="C12" t="inlineStr">
        <is>
          <t>MAC_MLK_ROB</t>
        </is>
      </c>
      <c r="D12" s="5" t="n">
        <v>1.88</v>
      </c>
      <c r="E12" s="5" t="n">
        <v>2.85</v>
      </c>
      <c r="F12" s="5" t="n">
        <v>0.01</v>
      </c>
      <c r="G12" s="5" t="n">
        <v>0.46</v>
      </c>
      <c r="H12" s="5" t="n">
        <v>0.75</v>
      </c>
      <c r="I12" s="5" t="n">
        <v>3.46</v>
      </c>
      <c r="J12" s="5" t="n">
        <v>2.22</v>
      </c>
      <c r="K12" s="5" t="n">
        <v>0.75</v>
      </c>
      <c r="L12" s="5" t="n">
        <v>0.2</v>
      </c>
      <c r="M12" s="5" t="n">
        <v>2.75</v>
      </c>
      <c r="N12" s="5" t="n">
        <v>3.29</v>
      </c>
      <c r="O12" s="5" t="n">
        <v>2.13</v>
      </c>
      <c r="P12" s="5" t="n">
        <v>1.27</v>
      </c>
      <c r="Q12" s="5" t="n">
        <v>0.23</v>
      </c>
      <c r="S12" s="5" t="n">
        <v>3.41</v>
      </c>
      <c r="T12" s="5" t="n">
        <v>0.1</v>
      </c>
      <c r="U12" s="5" t="n">
        <v>12.29</v>
      </c>
      <c r="V12" s="5" t="n">
        <v>0.53</v>
      </c>
      <c r="W12" s="5" t="n">
        <v>0.18</v>
      </c>
      <c r="X12" s="5" t="n">
        <v>9.6</v>
      </c>
      <c r="Y12" s="5" t="n">
        <v>0.06</v>
      </c>
      <c r="Z12" s="5" t="n">
        <v>0.07000000000000001</v>
      </c>
      <c r="AA12" s="5" t="n">
        <v>2.87</v>
      </c>
      <c r="AB12" s="5" t="n">
        <v>2.23</v>
      </c>
      <c r="AC12" s="5" t="n">
        <v>1.13</v>
      </c>
      <c r="AD12" s="5" t="n">
        <v>0.03</v>
      </c>
      <c r="AE12" s="5" t="n">
        <v>1.96</v>
      </c>
      <c r="AF12">
        <f>MAX(D12:AD12)</f>
        <v/>
      </c>
      <c r="AG12">
        <f>INDEX($D$4:$AD$4,MATCH(AF12,D12:AD12,0))</f>
        <v/>
      </c>
      <c r="AH12" t="inlineStr">
        <is>
          <t>https://doi.org/10.2908/EF_MP_DIGILSK</t>
        </is>
      </c>
    </row>
    <row r="13">
      <c r="A13" t="inlineStr">
        <is>
          <t>MON_ANIMALS</t>
        </is>
      </c>
      <c r="B13" t="inlineStr">
        <is>
          <t>ef_mp_digilsk</t>
        </is>
      </c>
      <c r="C13" t="inlineStr">
        <is>
          <t>MAC_WHMON</t>
        </is>
      </c>
      <c r="D13" s="5" t="n">
        <v>16.76</v>
      </c>
      <c r="E13" s="5" t="n">
        <v>17.76</v>
      </c>
      <c r="F13" s="5" t="n">
        <v>3.08</v>
      </c>
      <c r="G13" s="5" t="n">
        <v>0.83</v>
      </c>
      <c r="H13" s="5" t="n">
        <v>2.71</v>
      </c>
      <c r="I13" s="5" t="n">
        <v>11.02</v>
      </c>
      <c r="J13" s="5" t="n">
        <v>11.82</v>
      </c>
      <c r="K13" s="5" t="n">
        <v>9.619999999999999</v>
      </c>
      <c r="L13" s="5" t="n">
        <v>0.16</v>
      </c>
      <c r="M13" s="5" t="n">
        <v>6.2</v>
      </c>
      <c r="N13" s="5" t="n">
        <v>6.16</v>
      </c>
      <c r="O13" s="5" t="n">
        <v>19.76</v>
      </c>
      <c r="P13" s="5" t="n">
        <v>4.16</v>
      </c>
      <c r="Q13" s="5" t="n">
        <v>2.58</v>
      </c>
      <c r="S13" s="5" t="n">
        <v>3.67</v>
      </c>
      <c r="T13" s="5" t="n">
        <v>1.21</v>
      </c>
      <c r="U13" s="5" t="n">
        <v>27.37</v>
      </c>
      <c r="V13" s="5" t="n">
        <v>1.78</v>
      </c>
      <c r="W13" s="5" t="n">
        <v>3.69</v>
      </c>
      <c r="X13" s="5" t="n">
        <v>20.85</v>
      </c>
      <c r="Y13" s="5" t="n">
        <v>3.21</v>
      </c>
      <c r="Z13" s="5" t="n">
        <v>0.89</v>
      </c>
      <c r="AA13" s="5" t="n">
        <v>0.38</v>
      </c>
      <c r="AB13" s="5" t="n">
        <v>12.08</v>
      </c>
      <c r="AC13" s="5" t="n">
        <v>2.86</v>
      </c>
      <c r="AD13" s="5" t="n">
        <v>0.68</v>
      </c>
      <c r="AE13" s="5" t="n">
        <v>4.69</v>
      </c>
      <c r="AF13">
        <f>MAX(D13:AD13)</f>
        <v/>
      </c>
      <c r="AG13">
        <f>INDEX($D$4:$AD$4,MATCH(AF13,D13:AD13,0))</f>
        <v/>
      </c>
      <c r="AH13" t="inlineStr">
        <is>
          <t>https://doi.org/10.2908/EF_MP_DIGILSK</t>
        </is>
      </c>
    </row>
    <row r="14">
      <c r="A14" t="inlineStr">
        <is>
          <t>AUTO_REG_CLIMATE</t>
        </is>
      </c>
      <c r="B14" t="inlineStr">
        <is>
          <t>ef_mp_digilsk</t>
        </is>
      </c>
      <c r="C14" t="inlineStr">
        <is>
          <t>MAC_AREG</t>
        </is>
      </c>
      <c r="D14" s="5" t="n">
        <v>9.640000000000001</v>
      </c>
      <c r="E14" s="5" t="n">
        <v>11.58</v>
      </c>
      <c r="F14" s="5" t="n">
        <v>0.53</v>
      </c>
      <c r="G14" s="5" t="n">
        <v>0.54</v>
      </c>
      <c r="H14" s="5" t="n">
        <v>2.14</v>
      </c>
      <c r="I14" s="5" t="n">
        <v>11.67</v>
      </c>
      <c r="J14" s="5" t="n">
        <v>9.09</v>
      </c>
      <c r="K14" s="5" t="n">
        <v>1.87</v>
      </c>
      <c r="L14" s="5" t="n">
        <v>0.14</v>
      </c>
      <c r="M14" s="5" t="n">
        <v>2</v>
      </c>
      <c r="N14" s="5" t="n">
        <v>9.73</v>
      </c>
      <c r="O14" s="5" t="n">
        <v>8.58</v>
      </c>
      <c r="P14" s="5" t="n">
        <v>0.3</v>
      </c>
      <c r="Q14" s="5" t="n">
        <v>0.85</v>
      </c>
      <c r="S14" s="5" t="n">
        <v>1.47</v>
      </c>
      <c r="T14" s="5" t="n">
        <v>0.17</v>
      </c>
      <c r="U14" s="5" t="n">
        <v>12.29</v>
      </c>
      <c r="V14" s="5" t="n">
        <v>0.43</v>
      </c>
      <c r="W14" s="5" t="n">
        <v>5.54</v>
      </c>
      <c r="X14" s="5" t="n">
        <v>15.84</v>
      </c>
      <c r="Y14" s="5" t="n">
        <v>2.13</v>
      </c>
      <c r="Z14" s="5" t="n">
        <v>0.78</v>
      </c>
      <c r="AA14" s="5" t="n">
        <v>0.17</v>
      </c>
      <c r="AB14" s="5" t="n">
        <v>8.56</v>
      </c>
      <c r="AC14" s="5" t="n">
        <v>1.92</v>
      </c>
      <c r="AD14" s="5" t="n">
        <v>0.46</v>
      </c>
      <c r="AE14" s="5" t="n">
        <v>2.51</v>
      </c>
      <c r="AF14">
        <f>MAX(D14:AD14)</f>
        <v/>
      </c>
      <c r="AG14">
        <f>INDEX($D$4:$AD$4,MATCH(AF14,D14:AD14,0))</f>
        <v/>
      </c>
      <c r="AH14" t="inlineStr">
        <is>
          <t>https://doi.org/10.2908/EF_MP_DIGILSK</t>
        </is>
      </c>
    </row>
    <row r="17">
      <c r="A17" s="3" t="inlineStr">
        <is>
          <t>large holdings</t>
        </is>
      </c>
    </row>
    <row r="18">
      <c r="A18" s="3" t="inlineStr">
        <is>
          <t>Technology</t>
        </is>
      </c>
      <c r="B18" s="3" t="inlineStr">
        <is>
          <t>Eurostat dataset</t>
        </is>
      </c>
      <c r="C18" s="3" t="inlineStr">
        <is>
          <t>Code</t>
        </is>
      </c>
      <c r="D18" s="3" t="inlineStr">
        <is>
          <t>AT</t>
        </is>
      </c>
      <c r="E18" s="3" t="inlineStr">
        <is>
          <t>BE</t>
        </is>
      </c>
      <c r="F18" s="3" t="inlineStr">
        <is>
          <t>BG</t>
        </is>
      </c>
      <c r="G18" s="3" t="inlineStr">
        <is>
          <t>CY</t>
        </is>
      </c>
      <c r="H18" s="3" t="inlineStr">
        <is>
          <t>CZ</t>
        </is>
      </c>
      <c r="I18" s="3" t="inlineStr">
        <is>
          <t>DE</t>
        </is>
      </c>
      <c r="J18" s="3" t="inlineStr">
        <is>
          <t>DK</t>
        </is>
      </c>
      <c r="K18" s="3" t="inlineStr">
        <is>
          <t>EE</t>
        </is>
      </c>
      <c r="L18" s="3" t="inlineStr">
        <is>
          <t>EL</t>
        </is>
      </c>
      <c r="M18" s="3" t="inlineStr">
        <is>
          <t>ES</t>
        </is>
      </c>
      <c r="N18" s="3" t="inlineStr">
        <is>
          <t>FI</t>
        </is>
      </c>
      <c r="O18" s="3" t="inlineStr">
        <is>
          <t>FR</t>
        </is>
      </c>
      <c r="P18" s="3" t="inlineStr">
        <is>
          <t>HR</t>
        </is>
      </c>
      <c r="Q18" s="3" t="inlineStr">
        <is>
          <t>HU</t>
        </is>
      </c>
      <c r="R18" s="3" t="inlineStr">
        <is>
          <t>IE</t>
        </is>
      </c>
      <c r="S18" s="3" t="inlineStr">
        <is>
          <t>IT</t>
        </is>
      </c>
      <c r="T18" s="3" t="inlineStr">
        <is>
          <t>LT</t>
        </is>
      </c>
      <c r="U18" s="3" t="inlineStr">
        <is>
          <t>LU</t>
        </is>
      </c>
      <c r="V18" s="3" t="inlineStr">
        <is>
          <t>LV</t>
        </is>
      </c>
      <c r="W18" s="3" t="inlineStr">
        <is>
          <t>MT</t>
        </is>
      </c>
      <c r="X18" s="3" t="inlineStr">
        <is>
          <t>NL</t>
        </is>
      </c>
      <c r="Y18" s="3" t="inlineStr">
        <is>
          <t>PL</t>
        </is>
      </c>
      <c r="Z18" s="3" t="inlineStr">
        <is>
          <t>PT</t>
        </is>
      </c>
      <c r="AA18" s="3" t="inlineStr">
        <is>
          <t>RO</t>
        </is>
      </c>
      <c r="AB18" s="3" t="inlineStr">
        <is>
          <t>SE</t>
        </is>
      </c>
      <c r="AC18" s="3" t="inlineStr">
        <is>
          <t>SI</t>
        </is>
      </c>
      <c r="AD18" s="3" t="inlineStr">
        <is>
          <t>SK</t>
        </is>
      </c>
      <c r="AE18" s="3" t="inlineStr">
        <is>
          <t>EU27_2020</t>
        </is>
      </c>
      <c r="AF18" s="3" t="inlineStr">
        <is>
          <t>Leader value</t>
        </is>
      </c>
      <c r="AG18" s="3" t="inlineStr">
        <is>
          <t>Leader</t>
        </is>
      </c>
      <c r="AH18" s="3" t="inlineStr">
        <is>
          <t>Link</t>
        </is>
      </c>
    </row>
    <row r="19">
      <c r="A19" t="inlineStr">
        <is>
          <t>ROBOTICS</t>
        </is>
      </c>
      <c r="B19" t="inlineStr">
        <is>
          <t>ef_mp_digi</t>
        </is>
      </c>
      <c r="C19" t="inlineStr">
        <is>
          <t>MAC_ROB</t>
        </is>
      </c>
      <c r="D19" s="5" t="n">
        <v>13.86</v>
      </c>
      <c r="E19" s="5" t="n">
        <v>33.35</v>
      </c>
      <c r="F19" s="5" t="n">
        <v>5.15</v>
      </c>
      <c r="G19" s="5" t="n">
        <v>5.15</v>
      </c>
      <c r="H19" s="5" t="n">
        <v>14.61</v>
      </c>
      <c r="I19" s="5" t="n">
        <v>42.06</v>
      </c>
      <c r="J19" s="5" t="n">
        <v>47.24</v>
      </c>
      <c r="K19" s="5" t="n">
        <v>34.59</v>
      </c>
      <c r="L19" s="5" t="n">
        <v>7.47</v>
      </c>
      <c r="M19" s="5" t="n">
        <v>39.78</v>
      </c>
      <c r="N19" s="5" t="n">
        <v>55.12</v>
      </c>
      <c r="O19" s="5" t="n">
        <v>39.31</v>
      </c>
      <c r="P19" s="5" t="n">
        <v>16.56</v>
      </c>
      <c r="Q19" s="5" t="n">
        <v>14.83</v>
      </c>
      <c r="R19" s="5" t="n">
        <v>27.23</v>
      </c>
      <c r="S19" s="5" t="n">
        <v>23.14</v>
      </c>
      <c r="T19" s="5" t="n">
        <v>5.1</v>
      </c>
      <c r="U19" s="5" t="n">
        <v>42.27</v>
      </c>
      <c r="V19" s="5" t="n">
        <v>40.82</v>
      </c>
      <c r="W19" s="5" t="n">
        <v>31.58</v>
      </c>
      <c r="X19" s="5" t="n">
        <v>48.33</v>
      </c>
      <c r="Y19" s="5" t="n">
        <v>7.21</v>
      </c>
      <c r="Z19" s="5" t="n">
        <v>4.29</v>
      </c>
      <c r="AA19" s="5" t="n">
        <v>17.22</v>
      </c>
      <c r="AB19" s="5" t="n">
        <v>47.04</v>
      </c>
      <c r="AC19" s="5" t="n">
        <v>14</v>
      </c>
      <c r="AD19" s="5" t="n">
        <v>7.42</v>
      </c>
      <c r="AE19" s="5" t="n">
        <v>31.3</v>
      </c>
      <c r="AF19">
        <f>MAX(D19:AD19)</f>
        <v/>
      </c>
      <c r="AG19">
        <f>INDEX($D$18:$AD$18,MATCH(AF19,D19:AD19,0))</f>
        <v/>
      </c>
      <c r="AH19" t="inlineStr">
        <is>
          <t>https://doi.org/10.2908/EF_MP_DIGI</t>
        </is>
      </c>
    </row>
    <row r="20">
      <c r="A20" t="inlineStr">
        <is>
          <t>MAC_ROB_PPP</t>
        </is>
      </c>
      <c r="B20" t="inlineStr">
        <is>
          <t>ef_mp_digicr</t>
        </is>
      </c>
      <c r="C20" t="inlineStr">
        <is>
          <t>MAC_ROB_PPP</t>
        </is>
      </c>
      <c r="D20" s="5" t="n">
        <v>0.2</v>
      </c>
      <c r="E20" s="5" t="n">
        <v>13.58</v>
      </c>
      <c r="F20" s="5" t="n">
        <v>2.27</v>
      </c>
      <c r="H20" s="5" t="n">
        <v>3.72</v>
      </c>
      <c r="I20" s="5" t="n">
        <v>10</v>
      </c>
      <c r="J20" s="5" t="n">
        <v>51.23</v>
      </c>
      <c r="K20" s="5" t="n">
        <v>18.27</v>
      </c>
      <c r="L20" s="5" t="n">
        <v>2.11</v>
      </c>
      <c r="M20" s="5" t="n">
        <v>5.4</v>
      </c>
      <c r="N20" s="5" t="n">
        <v>32.71</v>
      </c>
      <c r="O20" s="5" t="n">
        <v>32.18</v>
      </c>
      <c r="P20" s="5" t="n">
        <v>2.7</v>
      </c>
      <c r="Q20" s="5" t="n">
        <v>4.51</v>
      </c>
      <c r="R20" s="5" t="n">
        <v>23.31</v>
      </c>
      <c r="S20" s="5" t="n">
        <v>1.59</v>
      </c>
      <c r="T20" s="5" t="n">
        <v>0.51</v>
      </c>
      <c r="U20" s="5" t="n">
        <v>7.55</v>
      </c>
      <c r="V20" s="5" t="n">
        <v>21.34</v>
      </c>
      <c r="X20" s="5" t="n">
        <v>22.19</v>
      </c>
      <c r="Y20" s="5" t="n">
        <v>3.96</v>
      </c>
      <c r="Z20" s="5" t="n">
        <v>2.64</v>
      </c>
      <c r="AA20" s="5" t="n">
        <v>1.28</v>
      </c>
      <c r="AB20" s="5" t="n">
        <v>18.49</v>
      </c>
      <c r="AD20" s="5" t="n">
        <v>3.53</v>
      </c>
      <c r="AE20" s="5" t="n">
        <v>16.55</v>
      </c>
      <c r="AF20">
        <f>MAX(D20:AD20)</f>
        <v/>
      </c>
      <c r="AG20">
        <f>INDEX($D$18:$AD$18,MATCH(AF20,D20:AD20,0))</f>
        <v/>
      </c>
      <c r="AH20" t="inlineStr">
        <is>
          <t>https://doi.org/10.2908/EF_MP_DIGICR</t>
        </is>
      </c>
    </row>
    <row r="21">
      <c r="A21" t="inlineStr">
        <is>
          <t>BAND_SPRAY_PPP</t>
        </is>
      </c>
      <c r="B21" t="inlineStr">
        <is>
          <t>ef_mp_digicr</t>
        </is>
      </c>
      <c r="C21" t="inlineStr">
        <is>
          <t>MAC_BDS_PPP</t>
        </is>
      </c>
      <c r="D21" s="5" t="n">
        <v>3.25</v>
      </c>
      <c r="E21" s="5" t="n">
        <v>10.93</v>
      </c>
      <c r="F21" s="5" t="n">
        <v>1.73</v>
      </c>
      <c r="H21" s="5" t="n">
        <v>3.19</v>
      </c>
      <c r="I21" s="5" t="n">
        <v>12.41</v>
      </c>
      <c r="J21" s="5" t="n">
        <v>5.77</v>
      </c>
      <c r="K21" s="5" t="n">
        <v>13.46</v>
      </c>
      <c r="L21" s="5" t="n">
        <v>7.37</v>
      </c>
      <c r="M21" s="5" t="n">
        <v>11.25</v>
      </c>
      <c r="N21" s="5" t="n">
        <v>4.07</v>
      </c>
      <c r="O21" s="5" t="n">
        <v>5.03</v>
      </c>
      <c r="P21" s="5" t="n">
        <v>13.51</v>
      </c>
      <c r="Q21" s="5" t="n">
        <v>13.95</v>
      </c>
      <c r="R21" s="5" t="n">
        <v>6.84</v>
      </c>
      <c r="S21" s="5" t="n">
        <v>1.15</v>
      </c>
      <c r="T21" s="5" t="n">
        <v>4.04</v>
      </c>
      <c r="U21" s="5" t="n">
        <v>18.87</v>
      </c>
      <c r="V21" s="5" t="n">
        <v>9.51</v>
      </c>
      <c r="X21" s="5" t="n">
        <v>11.25</v>
      </c>
      <c r="Y21" s="5" t="n">
        <v>23.44</v>
      </c>
      <c r="Z21" s="5" t="n">
        <v>4.69</v>
      </c>
      <c r="AA21" s="5" t="n">
        <v>4.92</v>
      </c>
      <c r="AB21" s="5" t="n">
        <v>3.35</v>
      </c>
      <c r="AD21" s="5" t="n">
        <v>1.18</v>
      </c>
      <c r="AE21" s="5" t="n">
        <v>8.07</v>
      </c>
      <c r="AF21">
        <f>MAX(D21:AD21)</f>
        <v/>
      </c>
      <c r="AG21">
        <f>INDEX($D$18:$AD$18,MATCH(AF21,D21:AD21,0))</f>
        <v/>
      </c>
      <c r="AH21" t="inlineStr">
        <is>
          <t>https://doi.org/10.2908/EF_MP_DIGICR</t>
        </is>
      </c>
    </row>
    <row r="22">
      <c r="A22" t="inlineStr">
        <is>
          <t>VAR_RATE_TECH</t>
        </is>
      </c>
      <c r="B22" t="inlineStr">
        <is>
          <t>ef_mp_digicr</t>
        </is>
      </c>
      <c r="C22" t="inlineStr">
        <is>
          <t>MAC_VRT</t>
        </is>
      </c>
      <c r="D22" s="5" t="n">
        <v>21.54</v>
      </c>
      <c r="E22" s="5" t="n">
        <v>16.89</v>
      </c>
      <c r="F22" s="5" t="n">
        <v>7.2</v>
      </c>
      <c r="G22" s="5" t="n">
        <v>2.33</v>
      </c>
      <c r="H22" s="5" t="n">
        <v>15.58</v>
      </c>
      <c r="I22" s="5" t="n">
        <v>45.76</v>
      </c>
      <c r="J22" s="5" t="n">
        <v>32.9</v>
      </c>
      <c r="K22" s="5" t="n">
        <v>32.21</v>
      </c>
      <c r="L22" s="5" t="n">
        <v>7.37</v>
      </c>
      <c r="M22" s="5" t="n">
        <v>6.95</v>
      </c>
      <c r="N22" s="5" t="n">
        <v>27.39</v>
      </c>
      <c r="O22" s="5" t="n">
        <v>10.24</v>
      </c>
      <c r="P22" s="5" t="n">
        <v>2.7</v>
      </c>
      <c r="Q22" s="5" t="n">
        <v>26.86</v>
      </c>
      <c r="R22" s="5" t="n">
        <v>8.529999999999999</v>
      </c>
      <c r="S22" s="5" t="n">
        <v>13.19</v>
      </c>
      <c r="T22" s="5" t="n">
        <v>8.75</v>
      </c>
      <c r="U22" s="5" t="n">
        <v>28.3</v>
      </c>
      <c r="V22" s="5" t="n">
        <v>29.56</v>
      </c>
      <c r="X22" s="5" t="n">
        <v>33.13</v>
      </c>
      <c r="Y22" s="5" t="n">
        <v>26.26</v>
      </c>
      <c r="Z22" s="5" t="n">
        <v>5.43</v>
      </c>
      <c r="AA22" s="5" t="n">
        <v>9.9</v>
      </c>
      <c r="AB22" s="5" t="n">
        <v>23.2</v>
      </c>
      <c r="AD22" s="5" t="n">
        <v>4.31</v>
      </c>
      <c r="AE22" s="5" t="n">
        <v>16.74</v>
      </c>
      <c r="AF22">
        <f>MAX(D22:AD22)</f>
        <v/>
      </c>
      <c r="AG22">
        <f>INDEX($D$18:$AD$18,MATCH(AF22,D22:AD22,0))</f>
        <v/>
      </c>
      <c r="AH22" t="inlineStr">
        <is>
          <t>https://doi.org/10.2908/EF_MP_DIGICR</t>
        </is>
      </c>
    </row>
    <row r="23">
      <c r="A23" t="inlineStr">
        <is>
          <t>PREC_MON_CROPS</t>
        </is>
      </c>
      <c r="B23" t="inlineStr">
        <is>
          <t>ef_mp_digicr</t>
        </is>
      </c>
      <c r="C23" t="inlineStr">
        <is>
          <t>MAC_PMON_CR</t>
        </is>
      </c>
      <c r="D23" s="5" t="n">
        <v>7.72</v>
      </c>
      <c r="E23" s="5" t="n">
        <v>17.55</v>
      </c>
      <c r="F23" s="5" t="n">
        <v>2.13</v>
      </c>
      <c r="H23" s="5" t="n">
        <v>8.32</v>
      </c>
      <c r="I23" s="5" t="n">
        <v>50.76</v>
      </c>
      <c r="J23" s="5" t="n">
        <v>14.57</v>
      </c>
      <c r="K23" s="5" t="n">
        <v>16.35</v>
      </c>
      <c r="L23" s="5" t="n">
        <v>6.32</v>
      </c>
      <c r="M23" s="5" t="n">
        <v>6.57</v>
      </c>
      <c r="N23" s="5" t="n">
        <v>20.97</v>
      </c>
      <c r="O23" s="5" t="n">
        <v>23.92</v>
      </c>
      <c r="P23" s="5" t="n">
        <v>8.779999999999999</v>
      </c>
      <c r="Q23" s="5" t="n">
        <v>23.57</v>
      </c>
      <c r="R23" s="5" t="n">
        <v>5.27</v>
      </c>
      <c r="S23" s="5" t="n">
        <v>9.82</v>
      </c>
      <c r="T23" s="5" t="n">
        <v>7.74</v>
      </c>
      <c r="U23" s="5" t="n">
        <v>7.55</v>
      </c>
      <c r="V23" s="5" t="n">
        <v>8.48</v>
      </c>
      <c r="X23" s="5" t="n">
        <v>11.55</v>
      </c>
      <c r="Y23" s="5" t="n">
        <v>16.32</v>
      </c>
      <c r="Z23" s="5" t="n">
        <v>11.58</v>
      </c>
      <c r="AA23" s="5" t="n">
        <v>5.11</v>
      </c>
      <c r="AB23" s="5" t="n">
        <v>6.08</v>
      </c>
      <c r="AC23" s="5" t="n">
        <v>11.76</v>
      </c>
      <c r="AD23" s="5" t="n">
        <v>2.35</v>
      </c>
      <c r="AE23" s="5" t="n">
        <v>18.73</v>
      </c>
      <c r="AF23">
        <f>MAX(D23:AD23)</f>
        <v/>
      </c>
      <c r="AG23">
        <f>INDEX($D$18:$AD$18,MATCH(AF23,D23:AD23,0))</f>
        <v/>
      </c>
      <c r="AH23" t="inlineStr">
        <is>
          <t>https://doi.org/10.2908/EF_MP_DIGICR</t>
        </is>
      </c>
    </row>
    <row r="24">
      <c r="A24" t="inlineStr">
        <is>
          <t>SOIL_ANALYSIS</t>
        </is>
      </c>
      <c r="B24" t="inlineStr">
        <is>
          <t>ef_mp_digicr</t>
        </is>
      </c>
      <c r="C24" t="inlineStr">
        <is>
          <t>MAC_ASOIL</t>
        </is>
      </c>
      <c r="D24" s="5" t="n">
        <v>28.05</v>
      </c>
      <c r="E24" s="5" t="n">
        <v>62.58</v>
      </c>
      <c r="F24" s="5" t="n">
        <v>6.27</v>
      </c>
      <c r="H24" s="5" t="n">
        <v>5.84</v>
      </c>
      <c r="I24" s="5" t="n">
        <v>66.27</v>
      </c>
      <c r="J24" s="5" t="n">
        <v>60.89</v>
      </c>
      <c r="K24" s="5" t="n">
        <v>73.08</v>
      </c>
      <c r="L24" s="5" t="n">
        <v>11.58</v>
      </c>
      <c r="M24" s="5" t="n">
        <v>18.75</v>
      </c>
      <c r="N24" s="5" t="n">
        <v>73.08</v>
      </c>
      <c r="O24" s="5" t="n">
        <v>68.42</v>
      </c>
      <c r="P24" s="5" t="n">
        <v>45.27</v>
      </c>
      <c r="Q24" s="5" t="n">
        <v>26.08</v>
      </c>
      <c r="R24" s="5" t="n">
        <v>59.7</v>
      </c>
      <c r="S24" s="5" t="n">
        <v>19.73</v>
      </c>
      <c r="T24" s="5" t="n">
        <v>17</v>
      </c>
      <c r="U24" s="5" t="n">
        <v>86.79000000000001</v>
      </c>
      <c r="V24" s="5" t="n">
        <v>28.53</v>
      </c>
      <c r="X24" s="5" t="n">
        <v>7.29</v>
      </c>
      <c r="Y24" s="5" t="n">
        <v>46.34</v>
      </c>
      <c r="Z24" s="5" t="n">
        <v>42.38</v>
      </c>
      <c r="AA24" s="5" t="n">
        <v>6.39</v>
      </c>
      <c r="AB24" s="5" t="n">
        <v>44.79</v>
      </c>
      <c r="AC24" s="5" t="n">
        <v>58.82</v>
      </c>
      <c r="AD24" s="5" t="n">
        <v>3.14</v>
      </c>
      <c r="AE24" s="5" t="n">
        <v>45.73</v>
      </c>
      <c r="AF24">
        <f>MAX(D24:AD24)</f>
        <v/>
      </c>
      <c r="AG24">
        <f>INDEX($D$18:$AD$18,MATCH(AF24,D24:AD24,0))</f>
        <v/>
      </c>
      <c r="AH24" t="inlineStr">
        <is>
          <t>https://doi.org/10.2908/EF_MP_DIGICR</t>
        </is>
      </c>
    </row>
    <row r="25">
      <c r="A25" t="inlineStr">
        <is>
          <t>AUTO_FEED_SYS</t>
        </is>
      </c>
      <c r="B25" t="inlineStr">
        <is>
          <t>ef_mp_digilsk</t>
        </is>
      </c>
      <c r="C25" t="inlineStr">
        <is>
          <t>MAC_AFDS</t>
        </is>
      </c>
      <c r="D25" s="5" t="n">
        <v>75.31</v>
      </c>
      <c r="E25" s="5" t="n">
        <v>38.98</v>
      </c>
      <c r="F25" s="5" t="n">
        <v>15.45</v>
      </c>
      <c r="G25" s="5" t="n">
        <v>31.82</v>
      </c>
      <c r="H25" s="5" t="n">
        <v>20.77</v>
      </c>
      <c r="I25" s="5" t="n">
        <v>54.89</v>
      </c>
      <c r="J25" s="5" t="n">
        <v>59.05</v>
      </c>
      <c r="K25" s="5" t="n">
        <v>37.97</v>
      </c>
      <c r="L25" s="5" t="n">
        <v>14.83</v>
      </c>
      <c r="M25" s="5" t="n">
        <v>43.56</v>
      </c>
      <c r="N25" s="5" t="n">
        <v>48.42</v>
      </c>
      <c r="O25" s="5" t="n">
        <v>26.16</v>
      </c>
      <c r="P25" s="5" t="n">
        <v>38.24</v>
      </c>
      <c r="Q25" s="5" t="n">
        <v>41.18</v>
      </c>
      <c r="S25" s="5" t="n">
        <v>46.23</v>
      </c>
      <c r="T25" s="5" t="n">
        <v>14.1</v>
      </c>
      <c r="U25" s="5" t="n">
        <v>38.02</v>
      </c>
      <c r="V25" s="5" t="n">
        <v>12.28</v>
      </c>
      <c r="X25" s="5" t="n">
        <v>43.29</v>
      </c>
      <c r="Y25" s="5" t="n">
        <v>59.94</v>
      </c>
      <c r="Z25" s="5" t="n">
        <v>35.31</v>
      </c>
      <c r="AA25" s="5" t="n">
        <v>27.62</v>
      </c>
      <c r="AB25" s="5" t="n">
        <v>60.96</v>
      </c>
      <c r="AC25" s="5" t="n">
        <v>50.51</v>
      </c>
      <c r="AD25" s="5" t="n">
        <v>10.71</v>
      </c>
      <c r="AE25" s="5" t="n">
        <v>37.24</v>
      </c>
      <c r="AF25">
        <f>MAX(D25:AD25)</f>
        <v/>
      </c>
      <c r="AG25">
        <f>INDEX($D$18:$AD$18,MATCH(AF25,D25:AD25,0))</f>
        <v/>
      </c>
      <c r="AH25" t="inlineStr">
        <is>
          <t>https://doi.org/10.2908/EF_MP_DIGILSK</t>
        </is>
      </c>
    </row>
    <row r="26">
      <c r="A26" t="inlineStr">
        <is>
          <t>MILK_ROBOTS</t>
        </is>
      </c>
      <c r="B26" t="inlineStr">
        <is>
          <t>ef_mp_digilsk</t>
        </is>
      </c>
      <c r="C26" t="inlineStr">
        <is>
          <t>MAC_MLK_ROB</t>
        </is>
      </c>
      <c r="D26" s="5" t="n">
        <v>11.28</v>
      </c>
      <c r="E26" s="5" t="n">
        <v>9.380000000000001</v>
      </c>
      <c r="F26" s="5" t="n">
        <v>0.8100000000000001</v>
      </c>
      <c r="G26" s="5" t="n">
        <v>10.23</v>
      </c>
      <c r="H26" s="5" t="n">
        <v>8.699999999999999</v>
      </c>
      <c r="I26" s="5" t="n">
        <v>16.88</v>
      </c>
      <c r="J26" s="5" t="n">
        <v>15.71</v>
      </c>
      <c r="K26" s="5" t="n">
        <v>17.72</v>
      </c>
      <c r="L26" s="5" t="n">
        <v>3.23</v>
      </c>
      <c r="M26" s="5" t="n">
        <v>15.5</v>
      </c>
      <c r="N26" s="5" t="n">
        <v>32.84</v>
      </c>
      <c r="O26" s="5" t="n">
        <v>11.39</v>
      </c>
      <c r="P26" s="5" t="n">
        <v>6.62</v>
      </c>
      <c r="Q26" s="5" t="n">
        <v>4.41</v>
      </c>
      <c r="S26" s="5" t="n">
        <v>41.36</v>
      </c>
      <c r="T26" s="5" t="n">
        <v>7.69</v>
      </c>
      <c r="U26" s="5" t="n">
        <v>32.23</v>
      </c>
      <c r="V26" s="5" t="n">
        <v>19.3</v>
      </c>
      <c r="X26" s="5" t="n">
        <v>24.54</v>
      </c>
      <c r="Y26" s="5" t="n">
        <v>4.25</v>
      </c>
      <c r="Z26" s="5" t="n">
        <v>3.33</v>
      </c>
      <c r="AA26" s="5" t="n">
        <v>40.95</v>
      </c>
      <c r="AB26" s="5" t="n">
        <v>30.21</v>
      </c>
      <c r="AD26" s="5" t="n">
        <v>1.19</v>
      </c>
      <c r="AE26" s="5" t="n">
        <v>14.6</v>
      </c>
      <c r="AF26">
        <f>MAX(D26:AD26)</f>
        <v/>
      </c>
      <c r="AG26">
        <f>INDEX($D$18:$AD$18,MATCH(AF26,D26:AD26,0))</f>
        <v/>
      </c>
      <c r="AH26" t="inlineStr">
        <is>
          <t>https://doi.org/10.2908/EF_MP_DIGILSK</t>
        </is>
      </c>
    </row>
    <row r="27">
      <c r="A27" t="inlineStr">
        <is>
          <t>MON_ANIMALS</t>
        </is>
      </c>
      <c r="B27" t="inlineStr">
        <is>
          <t>ef_mp_digilsk</t>
        </is>
      </c>
      <c r="C27" t="inlineStr">
        <is>
          <t>MAC_WHMON</t>
        </is>
      </c>
      <c r="D27" s="5" t="n">
        <v>75.31</v>
      </c>
      <c r="E27" s="5" t="n">
        <v>42.6</v>
      </c>
      <c r="F27" s="5" t="n">
        <v>39.02</v>
      </c>
      <c r="G27" s="5" t="n">
        <v>34.09</v>
      </c>
      <c r="H27" s="5" t="n">
        <v>35.75</v>
      </c>
      <c r="I27" s="5" t="n">
        <v>40.54</v>
      </c>
      <c r="J27" s="5" t="n">
        <v>70</v>
      </c>
      <c r="K27" s="5" t="n">
        <v>65.81999999999999</v>
      </c>
      <c r="L27" s="5" t="n">
        <v>12.17</v>
      </c>
      <c r="M27" s="5" t="n">
        <v>53.81</v>
      </c>
      <c r="N27" s="5" t="n">
        <v>51.79</v>
      </c>
      <c r="O27" s="5" t="n">
        <v>70.68000000000001</v>
      </c>
      <c r="P27" s="5" t="n">
        <v>39.71</v>
      </c>
      <c r="Q27" s="5" t="n">
        <v>50.49</v>
      </c>
      <c r="S27" s="5" t="n">
        <v>63.17</v>
      </c>
      <c r="T27" s="5" t="n">
        <v>32.05</v>
      </c>
      <c r="U27" s="5" t="n">
        <v>61.16</v>
      </c>
      <c r="V27" s="5" t="n">
        <v>33.33</v>
      </c>
      <c r="X27" s="5" t="n">
        <v>54.26</v>
      </c>
      <c r="Y27" s="5" t="n">
        <v>46.88</v>
      </c>
      <c r="Z27" s="5" t="n">
        <v>28.4</v>
      </c>
      <c r="AA27" s="5" t="n">
        <v>18.57</v>
      </c>
      <c r="AB27" s="5" t="n">
        <v>53.74</v>
      </c>
      <c r="AC27" s="5" t="n">
        <v>50.51</v>
      </c>
      <c r="AD27" s="5" t="n">
        <v>10.71</v>
      </c>
      <c r="AE27" s="5" t="n">
        <v>49.07</v>
      </c>
      <c r="AF27">
        <f>MAX(D27:AD27)</f>
        <v/>
      </c>
      <c r="AG27">
        <f>INDEX($D$18:$AD$18,MATCH(AF27,D27:AD27,0))</f>
        <v/>
      </c>
      <c r="AH27" t="inlineStr">
        <is>
          <t>https://doi.org/10.2908/EF_MP_DIGILSK</t>
        </is>
      </c>
    </row>
    <row r="28">
      <c r="A28" t="inlineStr">
        <is>
          <t>AUTO_REG_CLIMATE</t>
        </is>
      </c>
      <c r="B28" t="inlineStr">
        <is>
          <t>ef_mp_digilsk</t>
        </is>
      </c>
      <c r="C28" t="inlineStr">
        <is>
          <t>MAC_AREG</t>
        </is>
      </c>
      <c r="D28" s="5" t="n">
        <v>75.08</v>
      </c>
      <c r="E28" s="5" t="n">
        <v>39.55</v>
      </c>
      <c r="F28" s="5" t="n">
        <v>19.51</v>
      </c>
      <c r="G28" s="5" t="n">
        <v>22.73</v>
      </c>
      <c r="H28" s="5" t="n">
        <v>28.99</v>
      </c>
      <c r="I28" s="5" t="n">
        <v>51.02</v>
      </c>
      <c r="J28" s="5" t="n">
        <v>58.1</v>
      </c>
      <c r="K28" s="5" t="n">
        <v>37.97</v>
      </c>
      <c r="L28" s="5" t="n">
        <v>12.93</v>
      </c>
      <c r="M28" s="5" t="n">
        <v>33.79</v>
      </c>
      <c r="N28" s="5" t="n">
        <v>60.63</v>
      </c>
      <c r="O28" s="5" t="n">
        <v>36.52</v>
      </c>
      <c r="P28" s="5" t="n">
        <v>29.41</v>
      </c>
      <c r="Q28" s="5" t="n">
        <v>34.8</v>
      </c>
      <c r="S28" s="5" t="n">
        <v>55.57</v>
      </c>
      <c r="T28" s="5" t="n">
        <v>12.82</v>
      </c>
      <c r="U28" s="5" t="n">
        <v>33.06</v>
      </c>
      <c r="V28" s="5" t="n">
        <v>15.79</v>
      </c>
      <c r="X28" s="5" t="n">
        <v>47.17</v>
      </c>
      <c r="Y28" s="5" t="n">
        <v>54.25</v>
      </c>
      <c r="Z28" s="5" t="n">
        <v>32.84</v>
      </c>
      <c r="AA28" s="5" t="n">
        <v>14.76</v>
      </c>
      <c r="AB28" s="5" t="n">
        <v>59.09</v>
      </c>
      <c r="AC28" s="5" t="n">
        <v>50.51</v>
      </c>
      <c r="AD28" s="5" t="n">
        <v>8.33</v>
      </c>
      <c r="AE28" s="5" t="n">
        <v>38.52</v>
      </c>
      <c r="AF28">
        <f>MAX(D28:AD28)</f>
        <v/>
      </c>
      <c r="AG28">
        <f>INDEX($D$18:$AD$18,MATCH(AF28,D28:AD28,0))</f>
        <v/>
      </c>
      <c r="AH28" t="inlineStr">
        <is>
          <t>https://doi.org/10.2908/EF_MP_DIGILSK</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sheetData>
    <row r="1">
      <c r="A1" s="1" t="inlineStr">
        <is>
          <t>Derzhstat 2025: enterprises (incl. family farms) using the technology; share = estimate</t>
        </is>
      </c>
    </row>
    <row r="3">
      <c r="A3" s="3" t="inlineStr">
        <is>
          <t>Technology</t>
        </is>
      </c>
      <c r="B3" s="3" t="inlineStr">
        <is>
          <t>Enterprises using</t>
        </is>
      </c>
      <c r="C3" s="3" t="inlineStr">
        <is>
          <t>Enterprises with agricultural land</t>
        </is>
      </c>
      <c r="D3" s="3" t="inlineStr">
        <is>
          <t>Estimated share, %</t>
        </is>
      </c>
      <c r="E3" s="3" t="inlineStr">
        <is>
          <t>Numerator link</t>
        </is>
      </c>
      <c r="F3" s="3" t="inlineStr">
        <is>
          <t>Denominator link</t>
        </is>
      </c>
      <c r="G3" s="3" t="inlineStr">
        <is>
          <t>Enterprises keeping farm animals (2024)</t>
        </is>
      </c>
      <c r="H3" s="3" t="inlineStr">
        <is>
          <t>Estimated share, large-holding basis, %</t>
        </is>
      </c>
      <c r="I3" s="3" t="inlineStr">
        <is>
          <t>Livestock denominator link</t>
        </is>
      </c>
    </row>
    <row r="4">
      <c r="A4" t="inlineStr">
        <is>
          <t>ROBOTICS</t>
        </is>
      </c>
      <c r="B4" s="5" t="n">
        <v>1193</v>
      </c>
      <c r="C4" s="5" t="n">
        <v>30201</v>
      </c>
      <c r="D4">
        <f>100*B4/C4</f>
        <v/>
      </c>
      <c r="E4" t="inlineStr">
        <is>
          <t>https://stat.gov.ua/uk/explorer?urn=SSSU%3ADF_AGR_MACHINERY_AVAILABILITY%28~%29</t>
        </is>
      </c>
      <c r="F4" t="inlineStr">
        <is>
          <t>https://stat.gov.ua/uk/explorer?urn=SSSU%3ADF_AREA_HARVESTS_CROP_YIELD_A%28~%29</t>
        </is>
      </c>
      <c r="H4">
        <f>IF(G4="",D4,100*B4/G4)</f>
        <v/>
      </c>
    </row>
    <row r="5">
      <c r="A5" t="inlineStr">
        <is>
          <t>MAC_ROB_PPP</t>
        </is>
      </c>
      <c r="B5" s="5" t="n">
        <v>911</v>
      </c>
      <c r="C5" s="5" t="n">
        <v>30201</v>
      </c>
      <c r="D5">
        <f>100*B5/C5</f>
        <v/>
      </c>
      <c r="E5" t="inlineStr">
        <is>
          <t>https://stat.gov.ua/uk/explorer?urn=SSSU%3ADF_AGR_MACHINERY_AVAILABILITY%28~%29</t>
        </is>
      </c>
      <c r="F5" t="inlineStr">
        <is>
          <t>https://stat.gov.ua/uk/explorer?urn=SSSU%3ADF_AREA_HARVESTS_CROP_YIELD_A%28~%29</t>
        </is>
      </c>
      <c r="H5">
        <f>IF(G5="",D5,100*B5/G5)</f>
        <v/>
      </c>
    </row>
    <row r="6">
      <c r="A6" t="inlineStr">
        <is>
          <t>BAND_SPRAY_PPP</t>
        </is>
      </c>
      <c r="B6" s="5" t="n">
        <v>420</v>
      </c>
      <c r="C6" s="5" t="n">
        <v>30201</v>
      </c>
      <c r="D6">
        <f>100*B6/C6</f>
        <v/>
      </c>
      <c r="E6" t="inlineStr">
        <is>
          <t>https://stat.gov.ua/uk/explorer?urn=SSSU%3ADF_AGR_MACHINERY_AVAILABILITY%28~%29</t>
        </is>
      </c>
      <c r="F6" t="inlineStr">
        <is>
          <t>https://stat.gov.ua/uk/explorer?urn=SSSU%3ADF_AREA_HARVESTS_CROP_YIELD_A%28~%29</t>
        </is>
      </c>
      <c r="H6">
        <f>IF(G6="",D6,100*B6/G6)</f>
        <v/>
      </c>
    </row>
    <row r="7">
      <c r="A7" t="inlineStr">
        <is>
          <t>VAR_RATE_TECH</t>
        </is>
      </c>
      <c r="B7" s="5" t="n">
        <v>391</v>
      </c>
      <c r="C7" s="5" t="n">
        <v>30201</v>
      </c>
      <c r="D7">
        <f>100*B7/C7</f>
        <v/>
      </c>
      <c r="E7" t="inlineStr">
        <is>
          <t>https://stat.gov.ua/uk/explorer?urn=SSSU%3ADF_AGR_MACHINERY_AVAILABILITY%28~%29</t>
        </is>
      </c>
      <c r="F7" t="inlineStr">
        <is>
          <t>https://stat.gov.ua/uk/explorer?urn=SSSU%3ADF_AREA_HARVESTS_CROP_YIELD_A%28~%29</t>
        </is>
      </c>
      <c r="H7">
        <f>IF(G7="",D7,100*B7/G7)</f>
        <v/>
      </c>
    </row>
    <row r="8">
      <c r="A8" t="inlineStr">
        <is>
          <t>PREC_MON_CROPS</t>
        </is>
      </c>
      <c r="B8" s="5" t="n">
        <v>888</v>
      </c>
      <c r="C8" s="5" t="n">
        <v>30201</v>
      </c>
      <c r="D8">
        <f>100*B8/C8</f>
        <v/>
      </c>
      <c r="E8" t="inlineStr">
        <is>
          <t>https://stat.gov.ua/uk/explorer?urn=SSSU%3ADF_AGR_MACHINERY_AVAILABILITY%28~%29</t>
        </is>
      </c>
      <c r="F8" t="inlineStr">
        <is>
          <t>https://stat.gov.ua/uk/explorer?urn=SSSU%3ADF_AREA_HARVESTS_CROP_YIELD_A%28~%29</t>
        </is>
      </c>
      <c r="H8">
        <f>IF(G8="",D8,100*B8/G8)</f>
        <v/>
      </c>
    </row>
    <row r="9">
      <c r="A9" t="inlineStr">
        <is>
          <t>SOIL_ANALYSIS</t>
        </is>
      </c>
      <c r="B9" s="5" t="n">
        <v>349</v>
      </c>
      <c r="C9" s="5" t="n">
        <v>30201</v>
      </c>
      <c r="D9">
        <f>100*B9/C9</f>
        <v/>
      </c>
      <c r="E9" t="inlineStr">
        <is>
          <t>https://stat.gov.ua/uk/explorer?urn=SSSU%3ADF_AGR_MACHINERY_AVAILABILITY%28~%29</t>
        </is>
      </c>
      <c r="F9" t="inlineStr">
        <is>
          <t>https://stat.gov.ua/uk/explorer?urn=SSSU%3ADF_AREA_HARVESTS_CROP_YIELD_A%28~%29</t>
        </is>
      </c>
      <c r="H9">
        <f>IF(G9="",D9,100*B9/G9)</f>
        <v/>
      </c>
    </row>
    <row r="10">
      <c r="A10" t="inlineStr">
        <is>
          <t>AUTO_FEED_SYS</t>
        </is>
      </c>
      <c r="B10" s="5" t="n">
        <v>367</v>
      </c>
      <c r="C10" s="5" t="n">
        <v>30201</v>
      </c>
      <c r="D10">
        <f>100*B10/C10</f>
        <v/>
      </c>
      <c r="E10" t="inlineStr">
        <is>
          <t>https://stat.gov.ua/uk/explorer?urn=SSSU%3ADF_AGR_MACHINERY_AVAILABILITY%28~%29</t>
        </is>
      </c>
      <c r="F10" t="inlineStr">
        <is>
          <t>https://stat.gov.ua/uk/explorer?urn=SSSU%3ADF_AREA_HARVESTS_CROP_YIELD_A%28~%29</t>
        </is>
      </c>
      <c r="G10" s="5" t="n">
        <v>2070</v>
      </c>
      <c r="H10">
        <f>IF(G10="",D10,100*B10/G10)</f>
        <v/>
      </c>
      <c r="I10" t="inlineStr">
        <is>
          <t>https://stat.gov.ua/uk/explorer?urn=SSSU%3ADF_STOCKBREEDING_FODDER_A%28~%29</t>
        </is>
      </c>
    </row>
    <row r="11">
      <c r="A11" t="inlineStr">
        <is>
          <t>MILK_ROBOTS</t>
        </is>
      </c>
      <c r="B11" s="5" t="n">
        <v>74</v>
      </c>
      <c r="C11" s="5" t="n">
        <v>30201</v>
      </c>
      <c r="D11">
        <f>100*B11/C11</f>
        <v/>
      </c>
      <c r="E11" t="inlineStr">
        <is>
          <t>https://stat.gov.ua/uk/explorer?urn=SSSU%3ADF_AGR_MACHINERY_AVAILABILITY%28~%29</t>
        </is>
      </c>
      <c r="F11" t="inlineStr">
        <is>
          <t>https://stat.gov.ua/uk/explorer?urn=SSSU%3ADF_AREA_HARVESTS_CROP_YIELD_A%28~%29</t>
        </is>
      </c>
      <c r="G11" s="5" t="n">
        <v>2070</v>
      </c>
      <c r="H11">
        <f>IF(G11="",D11,100*B11/G11)</f>
        <v/>
      </c>
      <c r="I11" t="inlineStr">
        <is>
          <t>https://stat.gov.ua/uk/explorer?urn=SSSU%3ADF_STOCKBREEDING_FODDER_A%28~%29</t>
        </is>
      </c>
    </row>
    <row r="12">
      <c r="A12" t="inlineStr">
        <is>
          <t>MON_ANIMALS</t>
        </is>
      </c>
      <c r="B12" s="5" t="n">
        <v>198</v>
      </c>
      <c r="C12" s="5" t="n">
        <v>30201</v>
      </c>
      <c r="D12">
        <f>100*B12/C12</f>
        <v/>
      </c>
      <c r="E12" t="inlineStr">
        <is>
          <t>https://stat.gov.ua/uk/explorer?urn=SSSU%3ADF_AGR_MACHINERY_AVAILABILITY%28~%29</t>
        </is>
      </c>
      <c r="F12" t="inlineStr">
        <is>
          <t>https://stat.gov.ua/uk/explorer?urn=SSSU%3ADF_AREA_HARVESTS_CROP_YIELD_A%28~%29</t>
        </is>
      </c>
      <c r="G12" s="5" t="n">
        <v>2070</v>
      </c>
      <c r="H12">
        <f>IF(G12="",D12,100*B12/G12)</f>
        <v/>
      </c>
      <c r="I12" t="inlineStr">
        <is>
          <t>https://stat.gov.ua/uk/explorer?urn=SSSU%3ADF_STOCKBREEDING_FODDER_A%28~%29</t>
        </is>
      </c>
    </row>
    <row r="13">
      <c r="A13" t="inlineStr">
        <is>
          <t>AUTO_REG_CLIMATE</t>
        </is>
      </c>
      <c r="B13" s="5" t="n">
        <v>354</v>
      </c>
      <c r="C13" s="5" t="n">
        <v>30201</v>
      </c>
      <c r="D13">
        <f>100*B13/C13</f>
        <v/>
      </c>
      <c r="E13" t="inlineStr">
        <is>
          <t>https://stat.gov.ua/uk/explorer?urn=SSSU%3ADF_AGR_MACHINERY_AVAILABILITY%28~%29</t>
        </is>
      </c>
      <c r="F13" t="inlineStr">
        <is>
          <t>https://stat.gov.ua/uk/explorer?urn=SSSU%3ADF_AREA_HARVESTS_CROP_YIELD_A%28~%29</t>
        </is>
      </c>
      <c r="G13" s="5" t="n">
        <v>2070</v>
      </c>
      <c r="H13">
        <f>IF(G13="",D13,100*B13/G13)</f>
        <v/>
      </c>
      <c r="I13" t="inlineStr">
        <is>
          <t>https://stat.gov.ua/uk/explorer?urn=SSSU%3ADF_STOCKBREEDING_FODDER_A%28~%29</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9"/>
  <sheetViews>
    <sheetView workbookViewId="0">
      <selection activeCell="A1" sqref="A1"/>
    </sheetView>
  </sheetViews>
  <sheetFormatPr baseColWidth="8" defaultRowHeight="15"/>
  <sheetData>
    <row r="1">
      <c r="A1" s="1" t="inlineStr">
        <is>
          <t>Farm level: shares, ratios to the EU and partial layer scores</t>
        </is>
      </c>
    </row>
    <row r="3">
      <c r="A3" s="3" t="inlineStr">
        <is>
          <t>Technology</t>
        </is>
      </c>
      <c r="B3" s="3" t="inlineStr">
        <is>
          <t>Ukraine 2025*</t>
        </is>
      </c>
      <c r="C3" s="3" t="inlineStr">
        <is>
          <t>EU-27 all</t>
        </is>
      </c>
      <c r="D3" s="3" t="inlineStr">
        <is>
          <t>EU-27 large</t>
        </is>
      </c>
      <c r="E3" s="3" t="inlineStr">
        <is>
          <t>Germany</t>
        </is>
      </c>
      <c r="F3" s="3" t="inlineStr">
        <is>
          <t>Poland</t>
        </is>
      </c>
      <c r="G3" s="3" t="inlineStr">
        <is>
          <t>Hungary</t>
        </is>
      </c>
      <c r="H3" s="3" t="inlineStr">
        <is>
          <t>Romania</t>
        </is>
      </c>
      <c r="I3" s="3" t="inlineStr">
        <is>
          <t>Czechia</t>
        </is>
      </c>
      <c r="J3" s="3" t="inlineStr">
        <is>
          <t>Slovakia</t>
        </is>
      </c>
      <c r="K3" s="3" t="inlineStr">
        <is>
          <t>Lithuania</t>
        </is>
      </c>
      <c r="L3" s="3" t="inlineStr">
        <is>
          <t>Latvia</t>
        </is>
      </c>
      <c r="M3" s="3" t="inlineStr">
        <is>
          <t>Estonia</t>
        </is>
      </c>
      <c r="N3" s="3" t="inlineStr">
        <is>
          <t>Bulgaria</t>
        </is>
      </c>
      <c r="O3" s="3" t="inlineStr">
        <is>
          <t>UA / EU-27 all</t>
        </is>
      </c>
      <c r="P3" s="3" t="inlineStr">
        <is>
          <t>UA / EU-27 large</t>
        </is>
      </c>
    </row>
    <row r="4">
      <c r="A4" t="inlineStr">
        <is>
          <t>ROBOTICS</t>
        </is>
      </c>
      <c r="B4">
        <f>Farm_UA_data!$D$4</f>
        <v/>
      </c>
      <c r="C4">
        <f>Farm_EU_data!$AE$5</f>
        <v/>
      </c>
      <c r="D4">
        <f>Farm_EU_data!$AE$19</f>
        <v/>
      </c>
      <c r="E4">
        <f>Farm_EU_data!$I$5</f>
        <v/>
      </c>
      <c r="F4">
        <f>Farm_EU_data!$Y$5</f>
        <v/>
      </c>
      <c r="G4">
        <f>Farm_EU_data!$Q$5</f>
        <v/>
      </c>
      <c r="H4">
        <f>Farm_EU_data!$AA$5</f>
        <v/>
      </c>
      <c r="I4">
        <f>Farm_EU_data!$H$5</f>
        <v/>
      </c>
      <c r="J4">
        <f>Farm_EU_data!$AD$5</f>
        <v/>
      </c>
      <c r="K4">
        <f>Farm_EU_data!$T$5</f>
        <v/>
      </c>
      <c r="L4">
        <f>Farm_EU_data!$V$5</f>
        <v/>
      </c>
      <c r="M4">
        <f>Farm_EU_data!$K$5</f>
        <v/>
      </c>
      <c r="N4">
        <f>Farm_EU_data!$F$5</f>
        <v/>
      </c>
      <c r="O4">
        <f>B4/C4</f>
        <v/>
      </c>
      <c r="P4">
        <f>Farm_UA_data!$H$4/D4</f>
        <v/>
      </c>
    </row>
    <row r="5">
      <c r="A5" t="inlineStr">
        <is>
          <t>MAC_ROB_PPP</t>
        </is>
      </c>
      <c r="B5">
        <f>Farm_UA_data!$D$5</f>
        <v/>
      </c>
      <c r="C5">
        <f>Farm_EU_data!$AE$6</f>
        <v/>
      </c>
      <c r="D5">
        <f>Farm_EU_data!$AE$20</f>
        <v/>
      </c>
      <c r="E5">
        <f>Farm_EU_data!$I$6</f>
        <v/>
      </c>
      <c r="F5">
        <f>Farm_EU_data!$Y$6</f>
        <v/>
      </c>
      <c r="G5">
        <f>Farm_EU_data!$Q$6</f>
        <v/>
      </c>
      <c r="H5">
        <f>Farm_EU_data!$AA$6</f>
        <v/>
      </c>
      <c r="I5">
        <f>Farm_EU_data!$H$6</f>
        <v/>
      </c>
      <c r="J5">
        <f>Farm_EU_data!$AD$6</f>
        <v/>
      </c>
      <c r="K5">
        <f>Farm_EU_data!$T$6</f>
        <v/>
      </c>
      <c r="L5">
        <f>Farm_EU_data!$V$6</f>
        <v/>
      </c>
      <c r="M5">
        <f>Farm_EU_data!$K$6</f>
        <v/>
      </c>
      <c r="N5">
        <f>Farm_EU_data!$F$6</f>
        <v/>
      </c>
      <c r="O5">
        <f>B5/C5</f>
        <v/>
      </c>
      <c r="P5">
        <f>Farm_UA_data!$H$5/D5</f>
        <v/>
      </c>
    </row>
    <row r="6">
      <c r="A6" t="inlineStr">
        <is>
          <t>BAND_SPRAY_PPP</t>
        </is>
      </c>
      <c r="B6">
        <f>Farm_UA_data!$D$6</f>
        <v/>
      </c>
      <c r="C6">
        <f>Farm_EU_data!$AE$7</f>
        <v/>
      </c>
      <c r="D6">
        <f>Farm_EU_data!$AE$21</f>
        <v/>
      </c>
      <c r="E6">
        <f>Farm_EU_data!$I$7</f>
        <v/>
      </c>
      <c r="F6">
        <f>Farm_EU_data!$Y$7</f>
        <v/>
      </c>
      <c r="G6">
        <f>Farm_EU_data!$Q$7</f>
        <v/>
      </c>
      <c r="H6">
        <f>Farm_EU_data!$AA$7</f>
        <v/>
      </c>
      <c r="I6">
        <f>Farm_EU_data!$H$7</f>
        <v/>
      </c>
      <c r="J6">
        <f>Farm_EU_data!$AD$7</f>
        <v/>
      </c>
      <c r="K6">
        <f>Farm_EU_data!$T$7</f>
        <v/>
      </c>
      <c r="L6">
        <f>Farm_EU_data!$V$7</f>
        <v/>
      </c>
      <c r="M6">
        <f>Farm_EU_data!$K$7</f>
        <v/>
      </c>
      <c r="N6">
        <f>Farm_EU_data!$F$7</f>
        <v/>
      </c>
      <c r="O6">
        <f>B6/C6</f>
        <v/>
      </c>
      <c r="P6">
        <f>Farm_UA_data!$H$6/D6</f>
        <v/>
      </c>
    </row>
    <row r="7">
      <c r="A7" t="inlineStr">
        <is>
          <t>VAR_RATE_TECH</t>
        </is>
      </c>
      <c r="B7">
        <f>Farm_UA_data!$D$7</f>
        <v/>
      </c>
      <c r="C7">
        <f>Farm_EU_data!$AE$8</f>
        <v/>
      </c>
      <c r="D7">
        <f>Farm_EU_data!$AE$22</f>
        <v/>
      </c>
      <c r="E7">
        <f>Farm_EU_data!$I$8</f>
        <v/>
      </c>
      <c r="F7">
        <f>Farm_EU_data!$Y$8</f>
        <v/>
      </c>
      <c r="G7">
        <f>Farm_EU_data!$Q$8</f>
        <v/>
      </c>
      <c r="H7">
        <f>Farm_EU_data!$AA$8</f>
        <v/>
      </c>
      <c r="I7">
        <f>Farm_EU_data!$H$8</f>
        <v/>
      </c>
      <c r="J7">
        <f>Farm_EU_data!$AD$8</f>
        <v/>
      </c>
      <c r="K7">
        <f>Farm_EU_data!$T$8</f>
        <v/>
      </c>
      <c r="L7">
        <f>Farm_EU_data!$V$8</f>
        <v/>
      </c>
      <c r="M7">
        <f>Farm_EU_data!$K$8</f>
        <v/>
      </c>
      <c r="N7">
        <f>Farm_EU_data!$F$8</f>
        <v/>
      </c>
      <c r="O7">
        <f>B7/C7</f>
        <v/>
      </c>
      <c r="P7">
        <f>Farm_UA_data!$H$7/D7</f>
        <v/>
      </c>
    </row>
    <row r="8">
      <c r="A8" t="inlineStr">
        <is>
          <t>PREC_MON_CROPS</t>
        </is>
      </c>
      <c r="B8">
        <f>Farm_UA_data!$D$8</f>
        <v/>
      </c>
      <c r="C8">
        <f>Farm_EU_data!$AE$9</f>
        <v/>
      </c>
      <c r="D8">
        <f>Farm_EU_data!$AE$23</f>
        <v/>
      </c>
      <c r="E8">
        <f>Farm_EU_data!$I$9</f>
        <v/>
      </c>
      <c r="F8">
        <f>Farm_EU_data!$Y$9</f>
        <v/>
      </c>
      <c r="G8">
        <f>Farm_EU_data!$Q$9</f>
        <v/>
      </c>
      <c r="H8">
        <f>Farm_EU_data!$AA$9</f>
        <v/>
      </c>
      <c r="I8">
        <f>Farm_EU_data!$H$9</f>
        <v/>
      </c>
      <c r="J8">
        <f>Farm_EU_data!$AD$9</f>
        <v/>
      </c>
      <c r="K8">
        <f>Farm_EU_data!$T$9</f>
        <v/>
      </c>
      <c r="L8">
        <f>Farm_EU_data!$V$9</f>
        <v/>
      </c>
      <c r="M8">
        <f>Farm_EU_data!$K$9</f>
        <v/>
      </c>
      <c r="N8">
        <f>Farm_EU_data!$F$9</f>
        <v/>
      </c>
      <c r="O8">
        <f>B8/C8</f>
        <v/>
      </c>
      <c r="P8">
        <f>Farm_UA_data!$H$8/D8</f>
        <v/>
      </c>
    </row>
    <row r="9">
      <c r="A9" t="inlineStr">
        <is>
          <t>SOIL_ANALYSIS</t>
        </is>
      </c>
      <c r="B9">
        <f>Farm_UA_data!$D$9</f>
        <v/>
      </c>
      <c r="C9">
        <f>Farm_EU_data!$AE$10</f>
        <v/>
      </c>
      <c r="D9">
        <f>Farm_EU_data!$AE$24</f>
        <v/>
      </c>
      <c r="E9">
        <f>Farm_EU_data!$I$10</f>
        <v/>
      </c>
      <c r="F9">
        <f>Farm_EU_data!$Y$10</f>
        <v/>
      </c>
      <c r="G9">
        <f>Farm_EU_data!$Q$10</f>
        <v/>
      </c>
      <c r="H9">
        <f>Farm_EU_data!$AA$10</f>
        <v/>
      </c>
      <c r="I9">
        <f>Farm_EU_data!$H$10</f>
        <v/>
      </c>
      <c r="J9">
        <f>Farm_EU_data!$AD$10</f>
        <v/>
      </c>
      <c r="K9">
        <f>Farm_EU_data!$T$10</f>
        <v/>
      </c>
      <c r="L9">
        <f>Farm_EU_data!$V$10</f>
        <v/>
      </c>
      <c r="M9">
        <f>Farm_EU_data!$K$10</f>
        <v/>
      </c>
      <c r="N9">
        <f>Farm_EU_data!$F$10</f>
        <v/>
      </c>
      <c r="O9">
        <f>B9/C9</f>
        <v/>
      </c>
      <c r="P9">
        <f>Farm_UA_data!$H$9/D9</f>
        <v/>
      </c>
    </row>
    <row r="10">
      <c r="A10" t="inlineStr">
        <is>
          <t>AUTO_FEED_SYS</t>
        </is>
      </c>
      <c r="B10">
        <f>Farm_UA_data!$D$10</f>
        <v/>
      </c>
      <c r="C10">
        <f>Farm_EU_data!$AE$11</f>
        <v/>
      </c>
      <c r="D10">
        <f>Farm_EU_data!$AE$25</f>
        <v/>
      </c>
      <c r="E10">
        <f>Farm_EU_data!$I$11</f>
        <v/>
      </c>
      <c r="F10">
        <f>Farm_EU_data!$Y$11</f>
        <v/>
      </c>
      <c r="G10">
        <f>Farm_EU_data!$Q$11</f>
        <v/>
      </c>
      <c r="H10">
        <f>Farm_EU_data!$AA$11</f>
        <v/>
      </c>
      <c r="I10">
        <f>Farm_EU_data!$H$11</f>
        <v/>
      </c>
      <c r="J10">
        <f>Farm_EU_data!$AD$11</f>
        <v/>
      </c>
      <c r="K10">
        <f>Farm_EU_data!$T$11</f>
        <v/>
      </c>
      <c r="L10">
        <f>Farm_EU_data!$V$11</f>
        <v/>
      </c>
      <c r="M10">
        <f>Farm_EU_data!$K$11</f>
        <v/>
      </c>
      <c r="N10">
        <f>Farm_EU_data!$F$11</f>
        <v/>
      </c>
      <c r="O10">
        <f>B10/C10</f>
        <v/>
      </c>
      <c r="P10">
        <f>Farm_UA_data!$H$10/D10</f>
        <v/>
      </c>
    </row>
    <row r="11">
      <c r="A11" t="inlineStr">
        <is>
          <t>MILK_ROBOTS</t>
        </is>
      </c>
      <c r="B11">
        <f>Farm_UA_data!$D$11</f>
        <v/>
      </c>
      <c r="C11">
        <f>Farm_EU_data!$AE$12</f>
        <v/>
      </c>
      <c r="D11">
        <f>Farm_EU_data!$AE$26</f>
        <v/>
      </c>
      <c r="E11">
        <f>Farm_EU_data!$I$12</f>
        <v/>
      </c>
      <c r="F11">
        <f>Farm_EU_data!$Y$12</f>
        <v/>
      </c>
      <c r="G11">
        <f>Farm_EU_data!$Q$12</f>
        <v/>
      </c>
      <c r="H11">
        <f>Farm_EU_data!$AA$12</f>
        <v/>
      </c>
      <c r="I11">
        <f>Farm_EU_data!$H$12</f>
        <v/>
      </c>
      <c r="J11">
        <f>Farm_EU_data!$AD$12</f>
        <v/>
      </c>
      <c r="K11">
        <f>Farm_EU_data!$T$12</f>
        <v/>
      </c>
      <c r="L11">
        <f>Farm_EU_data!$V$12</f>
        <v/>
      </c>
      <c r="M11">
        <f>Farm_EU_data!$K$12</f>
        <v/>
      </c>
      <c r="N11">
        <f>Farm_EU_data!$F$12</f>
        <v/>
      </c>
      <c r="O11">
        <f>B11/C11</f>
        <v/>
      </c>
      <c r="P11">
        <f>Farm_UA_data!$H$11/D11</f>
        <v/>
      </c>
    </row>
    <row r="12">
      <c r="A12" t="inlineStr">
        <is>
          <t>MON_ANIMALS</t>
        </is>
      </c>
      <c r="B12">
        <f>Farm_UA_data!$D$12</f>
        <v/>
      </c>
      <c r="C12">
        <f>Farm_EU_data!$AE$13</f>
        <v/>
      </c>
      <c r="D12">
        <f>Farm_EU_data!$AE$27</f>
        <v/>
      </c>
      <c r="E12">
        <f>Farm_EU_data!$I$13</f>
        <v/>
      </c>
      <c r="F12">
        <f>Farm_EU_data!$Y$13</f>
        <v/>
      </c>
      <c r="G12">
        <f>Farm_EU_data!$Q$13</f>
        <v/>
      </c>
      <c r="H12">
        <f>Farm_EU_data!$AA$13</f>
        <v/>
      </c>
      <c r="I12">
        <f>Farm_EU_data!$H$13</f>
        <v/>
      </c>
      <c r="J12">
        <f>Farm_EU_data!$AD$13</f>
        <v/>
      </c>
      <c r="K12">
        <f>Farm_EU_data!$T$13</f>
        <v/>
      </c>
      <c r="L12">
        <f>Farm_EU_data!$V$13</f>
        <v/>
      </c>
      <c r="M12">
        <f>Farm_EU_data!$K$13</f>
        <v/>
      </c>
      <c r="N12">
        <f>Farm_EU_data!$F$13</f>
        <v/>
      </c>
      <c r="O12">
        <f>B12/C12</f>
        <v/>
      </c>
      <c r="P12">
        <f>Farm_UA_data!$H$12/D12</f>
        <v/>
      </c>
    </row>
    <row r="13">
      <c r="A13" t="inlineStr">
        <is>
          <t>AUTO_REG_CLIMATE</t>
        </is>
      </c>
      <c r="B13">
        <f>Farm_UA_data!$D$13</f>
        <v/>
      </c>
      <c r="C13">
        <f>Farm_EU_data!$AE$14</f>
        <v/>
      </c>
      <c r="D13">
        <f>Farm_EU_data!$AE$28</f>
        <v/>
      </c>
      <c r="E13">
        <f>Farm_EU_data!$I$14</f>
        <v/>
      </c>
      <c r="F13">
        <f>Farm_EU_data!$Y$14</f>
        <v/>
      </c>
      <c r="G13">
        <f>Farm_EU_data!$Q$14</f>
        <v/>
      </c>
      <c r="H13">
        <f>Farm_EU_data!$AA$14</f>
        <v/>
      </c>
      <c r="I13">
        <f>Farm_EU_data!$H$14</f>
        <v/>
      </c>
      <c r="J13">
        <f>Farm_EU_data!$AD$14</f>
        <v/>
      </c>
      <c r="K13">
        <f>Farm_EU_data!$T$14</f>
        <v/>
      </c>
      <c r="L13">
        <f>Farm_EU_data!$V$14</f>
        <v/>
      </c>
      <c r="M13">
        <f>Farm_EU_data!$K$14</f>
        <v/>
      </c>
      <c r="N13">
        <f>Farm_EU_data!$F$14</f>
        <v/>
      </c>
      <c r="O13">
        <f>B13/C13</f>
        <v/>
      </c>
      <c r="P13">
        <f>Farm_UA_data!$H$13/D13</f>
        <v/>
      </c>
    </row>
    <row r="15">
      <c r="A15" t="inlineStr">
        <is>
          <t>Median ratio</t>
        </is>
      </c>
      <c r="O15">
        <f>(SMALL(O4:O13,5)+SMALL(O4:O13,6))/2</f>
        <v/>
      </c>
      <c r="P15">
        <f>(SMALL(P4:P13,5)+SMALL(P4:P13,6))/2</f>
        <v/>
      </c>
    </row>
    <row r="18">
      <c r="A18" s="3" t="inlineStr">
        <is>
          <t>Partial layer scores, EU basis: all holdings (DM = MIN(1, P / P_leader))</t>
        </is>
      </c>
    </row>
    <row r="19">
      <c r="A19" s="3" t="inlineStr">
        <is>
          <t>Unit</t>
        </is>
      </c>
      <c r="B19" s="3" t="inlineStr">
        <is>
          <t>ROBOTICS</t>
        </is>
      </c>
      <c r="C19" s="3" t="inlineStr">
        <is>
          <t>MAC_ROB_PPP</t>
        </is>
      </c>
      <c r="D19" s="3" t="inlineStr">
        <is>
          <t>BAND_SPRAY_PPP</t>
        </is>
      </c>
      <c r="E19" s="3" t="inlineStr">
        <is>
          <t>VAR_RATE_TECH</t>
        </is>
      </c>
      <c r="F19" s="3" t="inlineStr">
        <is>
          <t>PREC_MON_CROPS</t>
        </is>
      </c>
      <c r="G19" s="3" t="inlineStr">
        <is>
          <t>SOIL_ANALYSIS</t>
        </is>
      </c>
      <c r="H19" s="3" t="inlineStr">
        <is>
          <t>AUTO_FEED_SYS</t>
        </is>
      </c>
      <c r="I19" s="3" t="inlineStr">
        <is>
          <t>MILK_ROBOTS</t>
        </is>
      </c>
      <c r="J19" s="3" t="inlineStr">
        <is>
          <t>MON_ANIMALS</t>
        </is>
      </c>
      <c r="K19" s="3" t="inlineStr">
        <is>
          <t>AUTO_REG_CLIMATE</t>
        </is>
      </c>
      <c r="L19" s="3" t="inlineStr">
        <is>
          <t>DM_C</t>
        </is>
      </c>
      <c r="M19" s="3" t="inlineStr">
        <is>
          <t>DM_L3</t>
        </is>
      </c>
      <c r="N19" s="3" t="inlineStr">
        <is>
          <t>DM_L3 crop</t>
        </is>
      </c>
      <c r="O19" s="3" t="inlineStr">
        <is>
          <t>DM_L3 livestock</t>
        </is>
      </c>
    </row>
    <row r="20">
      <c r="A20" t="inlineStr">
        <is>
          <t>EU27_2020</t>
        </is>
      </c>
      <c r="B20">
        <f>MIN(1,Farm_EU_data!$AE$5/Farm_EU_data!$AF$5)</f>
        <v/>
      </c>
      <c r="C20">
        <f>MIN(1,Farm_EU_data!$AE$6/Farm_EU_data!$AF$6)</f>
        <v/>
      </c>
      <c r="D20">
        <f>MIN(1,Farm_EU_data!$AE$7/Farm_EU_data!$AF$7)</f>
        <v/>
      </c>
      <c r="E20">
        <f>MIN(1,Farm_EU_data!$AE$8/Farm_EU_data!$AF$8)</f>
        <v/>
      </c>
      <c r="F20">
        <f>MIN(1,Farm_EU_data!$AE$9/Farm_EU_data!$AF$9)</f>
        <v/>
      </c>
      <c r="G20">
        <f>MIN(1,Farm_EU_data!$AE$10/Farm_EU_data!$AF$10)</f>
        <v/>
      </c>
      <c r="H20">
        <f>MIN(1,Farm_EU_data!$AE$11/Farm_EU_data!$AF$11)</f>
        <v/>
      </c>
      <c r="I20">
        <f>MIN(1,Farm_EU_data!$AE$12/Farm_EU_data!$AF$12)</f>
        <v/>
      </c>
      <c r="J20">
        <f>MIN(1,Farm_EU_data!$AE$13/Farm_EU_data!$AF$13)</f>
        <v/>
      </c>
      <c r="K20">
        <f>MIN(1,Farm_EU_data!$AE$14/Farm_EU_data!$AF$14)</f>
        <v/>
      </c>
      <c r="L20">
        <f>B20</f>
        <v/>
      </c>
      <c r="M20">
        <f>AVERAGE(C20:K20)</f>
        <v/>
      </c>
      <c r="N20">
        <f>AVERAGE(C20:G20)</f>
        <v/>
      </c>
      <c r="O20">
        <f>AVERAGE(H20:K20)</f>
        <v/>
      </c>
    </row>
    <row r="21">
      <c r="A21" t="inlineStr">
        <is>
          <t>DE</t>
        </is>
      </c>
      <c r="B21">
        <f>MIN(1,Farm_EU_data!$I$5/Farm_EU_data!$AF$5)</f>
        <v/>
      </c>
      <c r="C21">
        <f>MIN(1,Farm_EU_data!$I$6/Farm_EU_data!$AF$6)</f>
        <v/>
      </c>
      <c r="D21">
        <f>MIN(1,Farm_EU_data!$I$7/Farm_EU_data!$AF$7)</f>
        <v/>
      </c>
      <c r="E21">
        <f>MIN(1,Farm_EU_data!$I$8/Farm_EU_data!$AF$8)</f>
        <v/>
      </c>
      <c r="F21">
        <f>MIN(1,Farm_EU_data!$I$9/Farm_EU_data!$AF$9)</f>
        <v/>
      </c>
      <c r="G21">
        <f>MIN(1,Farm_EU_data!$I$10/Farm_EU_data!$AF$10)</f>
        <v/>
      </c>
      <c r="H21">
        <f>MIN(1,Farm_EU_data!$I$11/Farm_EU_data!$AF$11)</f>
        <v/>
      </c>
      <c r="I21">
        <f>MIN(1,Farm_EU_data!$I$12/Farm_EU_data!$AF$12)</f>
        <v/>
      </c>
      <c r="J21">
        <f>MIN(1,Farm_EU_data!$I$13/Farm_EU_data!$AF$13)</f>
        <v/>
      </c>
      <c r="K21">
        <f>MIN(1,Farm_EU_data!$I$14/Farm_EU_data!$AF$14)</f>
        <v/>
      </c>
      <c r="L21">
        <f>B21</f>
        <v/>
      </c>
      <c r="M21">
        <f>AVERAGE(C21:K21)</f>
        <v/>
      </c>
      <c r="N21">
        <f>AVERAGE(C21:G21)</f>
        <v/>
      </c>
      <c r="O21">
        <f>AVERAGE(H21:K21)</f>
        <v/>
      </c>
    </row>
    <row r="22">
      <c r="A22" t="inlineStr">
        <is>
          <t>PL</t>
        </is>
      </c>
      <c r="B22">
        <f>MIN(1,Farm_EU_data!$Y$5/Farm_EU_data!$AF$5)</f>
        <v/>
      </c>
      <c r="C22">
        <f>MIN(1,Farm_EU_data!$Y$6/Farm_EU_data!$AF$6)</f>
        <v/>
      </c>
      <c r="D22">
        <f>MIN(1,Farm_EU_data!$Y$7/Farm_EU_data!$AF$7)</f>
        <v/>
      </c>
      <c r="E22">
        <f>MIN(1,Farm_EU_data!$Y$8/Farm_EU_data!$AF$8)</f>
        <v/>
      </c>
      <c r="F22">
        <f>MIN(1,Farm_EU_data!$Y$9/Farm_EU_data!$AF$9)</f>
        <v/>
      </c>
      <c r="G22">
        <f>MIN(1,Farm_EU_data!$Y$10/Farm_EU_data!$AF$10)</f>
        <v/>
      </c>
      <c r="H22">
        <f>MIN(1,Farm_EU_data!$Y$11/Farm_EU_data!$AF$11)</f>
        <v/>
      </c>
      <c r="I22">
        <f>MIN(1,Farm_EU_data!$Y$12/Farm_EU_data!$AF$12)</f>
        <v/>
      </c>
      <c r="J22">
        <f>MIN(1,Farm_EU_data!$Y$13/Farm_EU_data!$AF$13)</f>
        <v/>
      </c>
      <c r="K22">
        <f>MIN(1,Farm_EU_data!$Y$14/Farm_EU_data!$AF$14)</f>
        <v/>
      </c>
      <c r="L22">
        <f>B22</f>
        <v/>
      </c>
      <c r="M22">
        <f>AVERAGE(C22:K22)</f>
        <v/>
      </c>
      <c r="N22">
        <f>AVERAGE(C22:G22)</f>
        <v/>
      </c>
      <c r="O22">
        <f>AVERAGE(H22:K22)</f>
        <v/>
      </c>
    </row>
    <row r="23">
      <c r="A23" t="inlineStr">
        <is>
          <t>HU</t>
        </is>
      </c>
      <c r="B23">
        <f>MIN(1,Farm_EU_data!$Q$5/Farm_EU_data!$AF$5)</f>
        <v/>
      </c>
      <c r="C23">
        <f>MIN(1,Farm_EU_data!$Q$6/Farm_EU_data!$AF$6)</f>
        <v/>
      </c>
      <c r="D23">
        <f>MIN(1,Farm_EU_data!$Q$7/Farm_EU_data!$AF$7)</f>
        <v/>
      </c>
      <c r="E23">
        <f>MIN(1,Farm_EU_data!$Q$8/Farm_EU_data!$AF$8)</f>
        <v/>
      </c>
      <c r="F23">
        <f>MIN(1,Farm_EU_data!$Q$9/Farm_EU_data!$AF$9)</f>
        <v/>
      </c>
      <c r="G23">
        <f>MIN(1,Farm_EU_data!$Q$10/Farm_EU_data!$AF$10)</f>
        <v/>
      </c>
      <c r="H23">
        <f>MIN(1,Farm_EU_data!$Q$11/Farm_EU_data!$AF$11)</f>
        <v/>
      </c>
      <c r="I23">
        <f>MIN(1,Farm_EU_data!$Q$12/Farm_EU_data!$AF$12)</f>
        <v/>
      </c>
      <c r="J23">
        <f>MIN(1,Farm_EU_data!$Q$13/Farm_EU_data!$AF$13)</f>
        <v/>
      </c>
      <c r="K23">
        <f>MIN(1,Farm_EU_data!$Q$14/Farm_EU_data!$AF$14)</f>
        <v/>
      </c>
      <c r="L23">
        <f>B23</f>
        <v/>
      </c>
      <c r="M23">
        <f>AVERAGE(C23:K23)</f>
        <v/>
      </c>
      <c r="N23">
        <f>AVERAGE(C23:G23)</f>
        <v/>
      </c>
      <c r="O23">
        <f>AVERAGE(H23:K23)</f>
        <v/>
      </c>
    </row>
    <row r="24">
      <c r="A24" t="inlineStr">
        <is>
          <t>RO</t>
        </is>
      </c>
      <c r="B24">
        <f>MIN(1,Farm_EU_data!$AA$5/Farm_EU_data!$AF$5)</f>
        <v/>
      </c>
      <c r="C24">
        <f>MIN(1,Farm_EU_data!$AA$6/Farm_EU_data!$AF$6)</f>
        <v/>
      </c>
      <c r="D24">
        <f>MIN(1,Farm_EU_data!$AA$7/Farm_EU_data!$AF$7)</f>
        <v/>
      </c>
      <c r="E24">
        <f>MIN(1,Farm_EU_data!$AA$8/Farm_EU_data!$AF$8)</f>
        <v/>
      </c>
      <c r="F24">
        <f>MIN(1,Farm_EU_data!$AA$9/Farm_EU_data!$AF$9)</f>
        <v/>
      </c>
      <c r="G24">
        <f>MIN(1,Farm_EU_data!$AA$10/Farm_EU_data!$AF$10)</f>
        <v/>
      </c>
      <c r="H24">
        <f>MIN(1,Farm_EU_data!$AA$11/Farm_EU_data!$AF$11)</f>
        <v/>
      </c>
      <c r="I24">
        <f>MIN(1,Farm_EU_data!$AA$12/Farm_EU_data!$AF$12)</f>
        <v/>
      </c>
      <c r="J24">
        <f>MIN(1,Farm_EU_data!$AA$13/Farm_EU_data!$AF$13)</f>
        <v/>
      </c>
      <c r="K24">
        <f>MIN(1,Farm_EU_data!$AA$14/Farm_EU_data!$AF$14)</f>
        <v/>
      </c>
      <c r="L24">
        <f>B24</f>
        <v/>
      </c>
      <c r="M24">
        <f>AVERAGE(C24:K24)</f>
        <v/>
      </c>
      <c r="N24">
        <f>AVERAGE(C24:G24)</f>
        <v/>
      </c>
      <c r="O24">
        <f>AVERAGE(H24:K24)</f>
        <v/>
      </c>
    </row>
    <row r="25">
      <c r="A25" t="inlineStr">
        <is>
          <t>CZ</t>
        </is>
      </c>
      <c r="B25">
        <f>MIN(1,Farm_EU_data!$H$5/Farm_EU_data!$AF$5)</f>
        <v/>
      </c>
      <c r="C25">
        <f>MIN(1,Farm_EU_data!$H$6/Farm_EU_data!$AF$6)</f>
        <v/>
      </c>
      <c r="D25">
        <f>MIN(1,Farm_EU_data!$H$7/Farm_EU_data!$AF$7)</f>
        <v/>
      </c>
      <c r="E25">
        <f>MIN(1,Farm_EU_data!$H$8/Farm_EU_data!$AF$8)</f>
        <v/>
      </c>
      <c r="F25">
        <f>MIN(1,Farm_EU_data!$H$9/Farm_EU_data!$AF$9)</f>
        <v/>
      </c>
      <c r="G25">
        <f>MIN(1,Farm_EU_data!$H$10/Farm_EU_data!$AF$10)</f>
        <v/>
      </c>
      <c r="H25">
        <f>MIN(1,Farm_EU_data!$H$11/Farm_EU_data!$AF$11)</f>
        <v/>
      </c>
      <c r="I25">
        <f>MIN(1,Farm_EU_data!$H$12/Farm_EU_data!$AF$12)</f>
        <v/>
      </c>
      <c r="J25">
        <f>MIN(1,Farm_EU_data!$H$13/Farm_EU_data!$AF$13)</f>
        <v/>
      </c>
      <c r="K25">
        <f>MIN(1,Farm_EU_data!$H$14/Farm_EU_data!$AF$14)</f>
        <v/>
      </c>
      <c r="L25">
        <f>B25</f>
        <v/>
      </c>
      <c r="M25">
        <f>AVERAGE(C25:K25)</f>
        <v/>
      </c>
      <c r="N25">
        <f>AVERAGE(C25:G25)</f>
        <v/>
      </c>
      <c r="O25">
        <f>AVERAGE(H25:K25)</f>
        <v/>
      </c>
    </row>
    <row r="26">
      <c r="A26" t="inlineStr">
        <is>
          <t>SK</t>
        </is>
      </c>
      <c r="B26">
        <f>MIN(1,Farm_EU_data!$AD$5/Farm_EU_data!$AF$5)</f>
        <v/>
      </c>
      <c r="C26">
        <f>MIN(1,Farm_EU_data!$AD$6/Farm_EU_data!$AF$6)</f>
        <v/>
      </c>
      <c r="D26">
        <f>MIN(1,Farm_EU_data!$AD$7/Farm_EU_data!$AF$7)</f>
        <v/>
      </c>
      <c r="E26">
        <f>MIN(1,Farm_EU_data!$AD$8/Farm_EU_data!$AF$8)</f>
        <v/>
      </c>
      <c r="F26">
        <f>MIN(1,Farm_EU_data!$AD$9/Farm_EU_data!$AF$9)</f>
        <v/>
      </c>
      <c r="G26">
        <f>MIN(1,Farm_EU_data!$AD$10/Farm_EU_data!$AF$10)</f>
        <v/>
      </c>
      <c r="H26">
        <f>MIN(1,Farm_EU_data!$AD$11/Farm_EU_data!$AF$11)</f>
        <v/>
      </c>
      <c r="I26">
        <f>MIN(1,Farm_EU_data!$AD$12/Farm_EU_data!$AF$12)</f>
        <v/>
      </c>
      <c r="J26">
        <f>MIN(1,Farm_EU_data!$AD$13/Farm_EU_data!$AF$13)</f>
        <v/>
      </c>
      <c r="K26">
        <f>MIN(1,Farm_EU_data!$AD$14/Farm_EU_data!$AF$14)</f>
        <v/>
      </c>
      <c r="L26">
        <f>B26</f>
        <v/>
      </c>
      <c r="M26">
        <f>AVERAGE(C26:K26)</f>
        <v/>
      </c>
      <c r="N26">
        <f>AVERAGE(C26:G26)</f>
        <v/>
      </c>
      <c r="O26">
        <f>AVERAGE(H26:K26)</f>
        <v/>
      </c>
    </row>
    <row r="27">
      <c r="A27" t="inlineStr">
        <is>
          <t>LT</t>
        </is>
      </c>
      <c r="B27">
        <f>MIN(1,Farm_EU_data!$T$5/Farm_EU_data!$AF$5)</f>
        <v/>
      </c>
      <c r="C27">
        <f>MIN(1,Farm_EU_data!$T$6/Farm_EU_data!$AF$6)</f>
        <v/>
      </c>
      <c r="D27">
        <f>MIN(1,Farm_EU_data!$T$7/Farm_EU_data!$AF$7)</f>
        <v/>
      </c>
      <c r="E27">
        <f>MIN(1,Farm_EU_data!$T$8/Farm_EU_data!$AF$8)</f>
        <v/>
      </c>
      <c r="F27">
        <f>MIN(1,Farm_EU_data!$T$9/Farm_EU_data!$AF$9)</f>
        <v/>
      </c>
      <c r="G27">
        <f>MIN(1,Farm_EU_data!$T$10/Farm_EU_data!$AF$10)</f>
        <v/>
      </c>
      <c r="H27">
        <f>MIN(1,Farm_EU_data!$T$11/Farm_EU_data!$AF$11)</f>
        <v/>
      </c>
      <c r="I27">
        <f>MIN(1,Farm_EU_data!$T$12/Farm_EU_data!$AF$12)</f>
        <v/>
      </c>
      <c r="J27">
        <f>MIN(1,Farm_EU_data!$T$13/Farm_EU_data!$AF$13)</f>
        <v/>
      </c>
      <c r="K27">
        <f>MIN(1,Farm_EU_data!$T$14/Farm_EU_data!$AF$14)</f>
        <v/>
      </c>
      <c r="L27">
        <f>B27</f>
        <v/>
      </c>
      <c r="M27">
        <f>AVERAGE(C27:K27)</f>
        <v/>
      </c>
      <c r="N27">
        <f>AVERAGE(C27:G27)</f>
        <v/>
      </c>
      <c r="O27">
        <f>AVERAGE(H27:K27)</f>
        <v/>
      </c>
    </row>
    <row r="28">
      <c r="A28" t="inlineStr">
        <is>
          <t>LV</t>
        </is>
      </c>
      <c r="B28">
        <f>MIN(1,Farm_EU_data!$V$5/Farm_EU_data!$AF$5)</f>
        <v/>
      </c>
      <c r="C28">
        <f>MIN(1,Farm_EU_data!$V$6/Farm_EU_data!$AF$6)</f>
        <v/>
      </c>
      <c r="D28">
        <f>MIN(1,Farm_EU_data!$V$7/Farm_EU_data!$AF$7)</f>
        <v/>
      </c>
      <c r="E28">
        <f>MIN(1,Farm_EU_data!$V$8/Farm_EU_data!$AF$8)</f>
        <v/>
      </c>
      <c r="F28">
        <f>MIN(1,Farm_EU_data!$V$9/Farm_EU_data!$AF$9)</f>
        <v/>
      </c>
      <c r="G28">
        <f>MIN(1,Farm_EU_data!$V$10/Farm_EU_data!$AF$10)</f>
        <v/>
      </c>
      <c r="H28">
        <f>MIN(1,Farm_EU_data!$V$11/Farm_EU_data!$AF$11)</f>
        <v/>
      </c>
      <c r="I28">
        <f>MIN(1,Farm_EU_data!$V$12/Farm_EU_data!$AF$12)</f>
        <v/>
      </c>
      <c r="J28">
        <f>MIN(1,Farm_EU_data!$V$13/Farm_EU_data!$AF$13)</f>
        <v/>
      </c>
      <c r="K28">
        <f>MIN(1,Farm_EU_data!$V$14/Farm_EU_data!$AF$14)</f>
        <v/>
      </c>
      <c r="L28">
        <f>B28</f>
        <v/>
      </c>
      <c r="M28">
        <f>AVERAGE(C28:K28)</f>
        <v/>
      </c>
      <c r="N28">
        <f>AVERAGE(C28:G28)</f>
        <v/>
      </c>
      <c r="O28">
        <f>AVERAGE(H28:K28)</f>
        <v/>
      </c>
    </row>
    <row r="29">
      <c r="A29" t="inlineStr">
        <is>
          <t>EE</t>
        </is>
      </c>
      <c r="B29">
        <f>MIN(1,Farm_EU_data!$K$5/Farm_EU_data!$AF$5)</f>
        <v/>
      </c>
      <c r="C29">
        <f>MIN(1,Farm_EU_data!$K$6/Farm_EU_data!$AF$6)</f>
        <v/>
      </c>
      <c r="D29">
        <f>MIN(1,Farm_EU_data!$K$7/Farm_EU_data!$AF$7)</f>
        <v/>
      </c>
      <c r="E29">
        <f>MIN(1,Farm_EU_data!$K$8/Farm_EU_data!$AF$8)</f>
        <v/>
      </c>
      <c r="F29">
        <f>MIN(1,Farm_EU_data!$K$9/Farm_EU_data!$AF$9)</f>
        <v/>
      </c>
      <c r="G29">
        <f>MIN(1,Farm_EU_data!$K$10/Farm_EU_data!$AF$10)</f>
        <v/>
      </c>
      <c r="H29">
        <f>MIN(1,Farm_EU_data!$K$11/Farm_EU_data!$AF$11)</f>
        <v/>
      </c>
      <c r="I29">
        <f>MIN(1,Farm_EU_data!$K$12/Farm_EU_data!$AF$12)</f>
        <v/>
      </c>
      <c r="J29">
        <f>MIN(1,Farm_EU_data!$K$13/Farm_EU_data!$AF$13)</f>
        <v/>
      </c>
      <c r="K29">
        <f>MIN(1,Farm_EU_data!$K$14/Farm_EU_data!$AF$14)</f>
        <v/>
      </c>
      <c r="L29">
        <f>B29</f>
        <v/>
      </c>
      <c r="M29">
        <f>AVERAGE(C29:K29)</f>
        <v/>
      </c>
      <c r="N29">
        <f>AVERAGE(C29:G29)</f>
        <v/>
      </c>
      <c r="O29">
        <f>AVERAGE(H29:K29)</f>
        <v/>
      </c>
    </row>
    <row r="30">
      <c r="A30" t="inlineStr">
        <is>
          <t>BG</t>
        </is>
      </c>
      <c r="B30">
        <f>MIN(1,Farm_EU_data!$F$5/Farm_EU_data!$AF$5)</f>
        <v/>
      </c>
      <c r="C30">
        <f>MIN(1,Farm_EU_data!$F$6/Farm_EU_data!$AF$6)</f>
        <v/>
      </c>
      <c r="D30">
        <f>MIN(1,Farm_EU_data!$F$7/Farm_EU_data!$AF$7)</f>
        <v/>
      </c>
      <c r="E30">
        <f>MIN(1,Farm_EU_data!$F$8/Farm_EU_data!$AF$8)</f>
        <v/>
      </c>
      <c r="F30">
        <f>MIN(1,Farm_EU_data!$F$9/Farm_EU_data!$AF$9)</f>
        <v/>
      </c>
      <c r="G30">
        <f>MIN(1,Farm_EU_data!$F$10/Farm_EU_data!$AF$10)</f>
        <v/>
      </c>
      <c r="H30">
        <f>MIN(1,Farm_EU_data!$F$11/Farm_EU_data!$AF$11)</f>
        <v/>
      </c>
      <c r="I30">
        <f>MIN(1,Farm_EU_data!$F$12/Farm_EU_data!$AF$12)</f>
        <v/>
      </c>
      <c r="J30">
        <f>MIN(1,Farm_EU_data!$F$13/Farm_EU_data!$AF$13)</f>
        <v/>
      </c>
      <c r="K30">
        <f>MIN(1,Farm_EU_data!$F$14/Farm_EU_data!$AF$14)</f>
        <v/>
      </c>
      <c r="L30">
        <f>B30</f>
        <v/>
      </c>
      <c r="M30">
        <f>AVERAGE(C30:K30)</f>
        <v/>
      </c>
      <c r="N30">
        <f>AVERAGE(C30:G30)</f>
        <v/>
      </c>
      <c r="O30">
        <f>AVERAGE(H30:K30)</f>
        <v/>
      </c>
    </row>
    <row r="31">
      <c r="A31" t="inlineStr">
        <is>
          <t>UA</t>
        </is>
      </c>
      <c r="B31">
        <f>MIN(1,Farm_UA_data!$D$4/Farm_EU_data!$AF$5)</f>
        <v/>
      </c>
      <c r="C31">
        <f>MIN(1,Farm_UA_data!$D$5/Farm_EU_data!$AF$6)</f>
        <v/>
      </c>
      <c r="D31">
        <f>MIN(1,Farm_UA_data!$D$6/Farm_EU_data!$AF$7)</f>
        <v/>
      </c>
      <c r="E31">
        <f>MIN(1,Farm_UA_data!$D$7/Farm_EU_data!$AF$8)</f>
        <v/>
      </c>
      <c r="F31">
        <f>MIN(1,Farm_UA_data!$D$8/Farm_EU_data!$AF$9)</f>
        <v/>
      </c>
      <c r="G31">
        <f>MIN(1,Farm_UA_data!$D$9/Farm_EU_data!$AF$10)</f>
        <v/>
      </c>
      <c r="H31">
        <f>MIN(1,Farm_UA_data!$D$10/Farm_EU_data!$AF$11)</f>
        <v/>
      </c>
      <c r="I31">
        <f>MIN(1,Farm_UA_data!$D$11/Farm_EU_data!$AF$12)</f>
        <v/>
      </c>
      <c r="J31">
        <f>MIN(1,Farm_UA_data!$D$12/Farm_EU_data!$AF$13)</f>
        <v/>
      </c>
      <c r="K31">
        <f>MIN(1,Farm_UA_data!$D$13/Farm_EU_data!$AF$14)</f>
        <v/>
      </c>
      <c r="L31">
        <f>B31</f>
        <v/>
      </c>
      <c r="M31">
        <f>AVERAGE(C31:K31)</f>
        <v/>
      </c>
      <c r="N31">
        <f>AVERAGE(C31:G31)</f>
        <v/>
      </c>
      <c r="O31">
        <f>AVERAGE(H31:K31)</f>
        <v/>
      </c>
    </row>
    <row r="36">
      <c r="A36" s="3" t="inlineStr">
        <is>
          <t>Partial layer scores, EU basis: large holdings (DM = MIN(1, P / P_leader))</t>
        </is>
      </c>
    </row>
    <row r="37">
      <c r="A37" s="3" t="inlineStr">
        <is>
          <t>Unit</t>
        </is>
      </c>
      <c r="B37" s="3" t="inlineStr">
        <is>
          <t>ROBOTICS</t>
        </is>
      </c>
      <c r="C37" s="3" t="inlineStr">
        <is>
          <t>MAC_ROB_PPP</t>
        </is>
      </c>
      <c r="D37" s="3" t="inlineStr">
        <is>
          <t>BAND_SPRAY_PPP</t>
        </is>
      </c>
      <c r="E37" s="3" t="inlineStr">
        <is>
          <t>VAR_RATE_TECH</t>
        </is>
      </c>
      <c r="F37" s="3" t="inlineStr">
        <is>
          <t>PREC_MON_CROPS</t>
        </is>
      </c>
      <c r="G37" s="3" t="inlineStr">
        <is>
          <t>SOIL_ANALYSIS</t>
        </is>
      </c>
      <c r="H37" s="3" t="inlineStr">
        <is>
          <t>AUTO_FEED_SYS</t>
        </is>
      </c>
      <c r="I37" s="3" t="inlineStr">
        <is>
          <t>MILK_ROBOTS</t>
        </is>
      </c>
      <c r="J37" s="3" t="inlineStr">
        <is>
          <t>MON_ANIMALS</t>
        </is>
      </c>
      <c r="K37" s="3" t="inlineStr">
        <is>
          <t>AUTO_REG_CLIMATE</t>
        </is>
      </c>
      <c r="L37" s="3" t="inlineStr">
        <is>
          <t>DM_C</t>
        </is>
      </c>
      <c r="M37" s="3" t="inlineStr">
        <is>
          <t>DM_L3</t>
        </is>
      </c>
      <c r="N37" s="3" t="inlineStr">
        <is>
          <t>DM_L3 crop</t>
        </is>
      </c>
      <c r="O37" s="3" t="inlineStr">
        <is>
          <t>DM_L3 livestock</t>
        </is>
      </c>
    </row>
    <row r="38">
      <c r="A38" t="inlineStr">
        <is>
          <t>EU27_2020</t>
        </is>
      </c>
      <c r="B38">
        <f>MIN(1,Farm_EU_data!$AE$19/Farm_EU_data!$AF$19)</f>
        <v/>
      </c>
      <c r="C38">
        <f>MIN(1,Farm_EU_data!$AE$20/Farm_EU_data!$AF$20)</f>
        <v/>
      </c>
      <c r="D38">
        <f>MIN(1,Farm_EU_data!$AE$21/Farm_EU_data!$AF$21)</f>
        <v/>
      </c>
      <c r="E38">
        <f>MIN(1,Farm_EU_data!$AE$22/Farm_EU_data!$AF$22)</f>
        <v/>
      </c>
      <c r="F38">
        <f>MIN(1,Farm_EU_data!$AE$23/Farm_EU_data!$AF$23)</f>
        <v/>
      </c>
      <c r="G38">
        <f>MIN(1,Farm_EU_data!$AE$24/Farm_EU_data!$AF$24)</f>
        <v/>
      </c>
      <c r="H38">
        <f>MIN(1,Farm_EU_data!$AE$25/Farm_EU_data!$AF$25)</f>
        <v/>
      </c>
      <c r="I38">
        <f>MIN(1,Farm_EU_data!$AE$26/Farm_EU_data!$AF$26)</f>
        <v/>
      </c>
      <c r="J38">
        <f>MIN(1,Farm_EU_data!$AE$27/Farm_EU_data!$AF$27)</f>
        <v/>
      </c>
      <c r="K38">
        <f>MIN(1,Farm_EU_data!$AE$28/Farm_EU_data!$AF$28)</f>
        <v/>
      </c>
      <c r="L38">
        <f>B38</f>
        <v/>
      </c>
      <c r="M38">
        <f>AVERAGE(C38:K38)</f>
        <v/>
      </c>
      <c r="N38">
        <f>AVERAGE(C38:G38)</f>
        <v/>
      </c>
      <c r="O38">
        <f>AVERAGE(H38:K38)</f>
        <v/>
      </c>
    </row>
    <row r="39">
      <c r="A39" t="inlineStr">
        <is>
          <t>DE</t>
        </is>
      </c>
      <c r="B39">
        <f>MIN(1,Farm_EU_data!$I$19/Farm_EU_data!$AF$19)</f>
        <v/>
      </c>
      <c r="C39">
        <f>MIN(1,Farm_EU_data!$I$20/Farm_EU_data!$AF$20)</f>
        <v/>
      </c>
      <c r="D39">
        <f>MIN(1,Farm_EU_data!$I$21/Farm_EU_data!$AF$21)</f>
        <v/>
      </c>
      <c r="E39">
        <f>MIN(1,Farm_EU_data!$I$22/Farm_EU_data!$AF$22)</f>
        <v/>
      </c>
      <c r="F39">
        <f>MIN(1,Farm_EU_data!$I$23/Farm_EU_data!$AF$23)</f>
        <v/>
      </c>
      <c r="G39">
        <f>MIN(1,Farm_EU_data!$I$24/Farm_EU_data!$AF$24)</f>
        <v/>
      </c>
      <c r="H39">
        <f>MIN(1,Farm_EU_data!$I$25/Farm_EU_data!$AF$25)</f>
        <v/>
      </c>
      <c r="I39">
        <f>MIN(1,Farm_EU_data!$I$26/Farm_EU_data!$AF$26)</f>
        <v/>
      </c>
      <c r="J39">
        <f>MIN(1,Farm_EU_data!$I$27/Farm_EU_data!$AF$27)</f>
        <v/>
      </c>
      <c r="K39">
        <f>MIN(1,Farm_EU_data!$I$28/Farm_EU_data!$AF$28)</f>
        <v/>
      </c>
      <c r="L39">
        <f>B39</f>
        <v/>
      </c>
      <c r="M39">
        <f>AVERAGE(C39:K39)</f>
        <v/>
      </c>
      <c r="N39">
        <f>AVERAGE(C39:G39)</f>
        <v/>
      </c>
      <c r="O39">
        <f>AVERAGE(H39:K39)</f>
        <v/>
      </c>
    </row>
    <row r="40">
      <c r="A40" t="inlineStr">
        <is>
          <t>PL</t>
        </is>
      </c>
      <c r="B40">
        <f>MIN(1,Farm_EU_data!$Y$19/Farm_EU_data!$AF$19)</f>
        <v/>
      </c>
      <c r="C40">
        <f>MIN(1,Farm_EU_data!$Y$20/Farm_EU_data!$AF$20)</f>
        <v/>
      </c>
      <c r="D40">
        <f>MIN(1,Farm_EU_data!$Y$21/Farm_EU_data!$AF$21)</f>
        <v/>
      </c>
      <c r="E40">
        <f>MIN(1,Farm_EU_data!$Y$22/Farm_EU_data!$AF$22)</f>
        <v/>
      </c>
      <c r="F40">
        <f>MIN(1,Farm_EU_data!$Y$23/Farm_EU_data!$AF$23)</f>
        <v/>
      </c>
      <c r="G40">
        <f>MIN(1,Farm_EU_data!$Y$24/Farm_EU_data!$AF$24)</f>
        <v/>
      </c>
      <c r="H40">
        <f>MIN(1,Farm_EU_data!$Y$25/Farm_EU_data!$AF$25)</f>
        <v/>
      </c>
      <c r="I40">
        <f>MIN(1,Farm_EU_data!$Y$26/Farm_EU_data!$AF$26)</f>
        <v/>
      </c>
      <c r="J40">
        <f>MIN(1,Farm_EU_data!$Y$27/Farm_EU_data!$AF$27)</f>
        <v/>
      </c>
      <c r="K40">
        <f>MIN(1,Farm_EU_data!$Y$28/Farm_EU_data!$AF$28)</f>
        <v/>
      </c>
      <c r="L40">
        <f>B40</f>
        <v/>
      </c>
      <c r="M40">
        <f>AVERAGE(C40:K40)</f>
        <v/>
      </c>
      <c r="N40">
        <f>AVERAGE(C40:G40)</f>
        <v/>
      </c>
      <c r="O40">
        <f>AVERAGE(H40:K40)</f>
        <v/>
      </c>
    </row>
    <row r="41">
      <c r="A41" t="inlineStr">
        <is>
          <t>HU</t>
        </is>
      </c>
      <c r="B41">
        <f>MIN(1,Farm_EU_data!$Q$19/Farm_EU_data!$AF$19)</f>
        <v/>
      </c>
      <c r="C41">
        <f>MIN(1,Farm_EU_data!$Q$20/Farm_EU_data!$AF$20)</f>
        <v/>
      </c>
      <c r="D41">
        <f>MIN(1,Farm_EU_data!$Q$21/Farm_EU_data!$AF$21)</f>
        <v/>
      </c>
      <c r="E41">
        <f>MIN(1,Farm_EU_data!$Q$22/Farm_EU_data!$AF$22)</f>
        <v/>
      </c>
      <c r="F41">
        <f>MIN(1,Farm_EU_data!$Q$23/Farm_EU_data!$AF$23)</f>
        <v/>
      </c>
      <c r="G41">
        <f>MIN(1,Farm_EU_data!$Q$24/Farm_EU_data!$AF$24)</f>
        <v/>
      </c>
      <c r="H41">
        <f>MIN(1,Farm_EU_data!$Q$25/Farm_EU_data!$AF$25)</f>
        <v/>
      </c>
      <c r="I41">
        <f>MIN(1,Farm_EU_data!$Q$26/Farm_EU_data!$AF$26)</f>
        <v/>
      </c>
      <c r="J41">
        <f>MIN(1,Farm_EU_data!$Q$27/Farm_EU_data!$AF$27)</f>
        <v/>
      </c>
      <c r="K41">
        <f>MIN(1,Farm_EU_data!$Q$28/Farm_EU_data!$AF$28)</f>
        <v/>
      </c>
      <c r="L41">
        <f>B41</f>
        <v/>
      </c>
      <c r="M41">
        <f>AVERAGE(C41:K41)</f>
        <v/>
      </c>
      <c r="N41">
        <f>AVERAGE(C41:G41)</f>
        <v/>
      </c>
      <c r="O41">
        <f>AVERAGE(H41:K41)</f>
        <v/>
      </c>
    </row>
    <row r="42">
      <c r="A42" t="inlineStr">
        <is>
          <t>RO</t>
        </is>
      </c>
      <c r="B42">
        <f>MIN(1,Farm_EU_data!$AA$19/Farm_EU_data!$AF$19)</f>
        <v/>
      </c>
      <c r="C42">
        <f>MIN(1,Farm_EU_data!$AA$20/Farm_EU_data!$AF$20)</f>
        <v/>
      </c>
      <c r="D42">
        <f>MIN(1,Farm_EU_data!$AA$21/Farm_EU_data!$AF$21)</f>
        <v/>
      </c>
      <c r="E42">
        <f>MIN(1,Farm_EU_data!$AA$22/Farm_EU_data!$AF$22)</f>
        <v/>
      </c>
      <c r="F42">
        <f>MIN(1,Farm_EU_data!$AA$23/Farm_EU_data!$AF$23)</f>
        <v/>
      </c>
      <c r="G42">
        <f>MIN(1,Farm_EU_data!$AA$24/Farm_EU_data!$AF$24)</f>
        <v/>
      </c>
      <c r="H42">
        <f>MIN(1,Farm_EU_data!$AA$25/Farm_EU_data!$AF$25)</f>
        <v/>
      </c>
      <c r="I42">
        <f>MIN(1,Farm_EU_data!$AA$26/Farm_EU_data!$AF$26)</f>
        <v/>
      </c>
      <c r="J42">
        <f>MIN(1,Farm_EU_data!$AA$27/Farm_EU_data!$AF$27)</f>
        <v/>
      </c>
      <c r="K42">
        <f>MIN(1,Farm_EU_data!$AA$28/Farm_EU_data!$AF$28)</f>
        <v/>
      </c>
      <c r="L42">
        <f>B42</f>
        <v/>
      </c>
      <c r="M42">
        <f>AVERAGE(C42:K42)</f>
        <v/>
      </c>
      <c r="N42">
        <f>AVERAGE(C42:G42)</f>
        <v/>
      </c>
      <c r="O42">
        <f>AVERAGE(H42:K42)</f>
        <v/>
      </c>
    </row>
    <row r="43">
      <c r="A43" t="inlineStr">
        <is>
          <t>CZ</t>
        </is>
      </c>
      <c r="B43">
        <f>MIN(1,Farm_EU_data!$H$19/Farm_EU_data!$AF$19)</f>
        <v/>
      </c>
      <c r="C43">
        <f>MIN(1,Farm_EU_data!$H$20/Farm_EU_data!$AF$20)</f>
        <v/>
      </c>
      <c r="D43">
        <f>MIN(1,Farm_EU_data!$H$21/Farm_EU_data!$AF$21)</f>
        <v/>
      </c>
      <c r="E43">
        <f>MIN(1,Farm_EU_data!$H$22/Farm_EU_data!$AF$22)</f>
        <v/>
      </c>
      <c r="F43">
        <f>MIN(1,Farm_EU_data!$H$23/Farm_EU_data!$AF$23)</f>
        <v/>
      </c>
      <c r="G43">
        <f>MIN(1,Farm_EU_data!$H$24/Farm_EU_data!$AF$24)</f>
        <v/>
      </c>
      <c r="H43">
        <f>MIN(1,Farm_EU_data!$H$25/Farm_EU_data!$AF$25)</f>
        <v/>
      </c>
      <c r="I43">
        <f>MIN(1,Farm_EU_data!$H$26/Farm_EU_data!$AF$26)</f>
        <v/>
      </c>
      <c r="J43">
        <f>MIN(1,Farm_EU_data!$H$27/Farm_EU_data!$AF$27)</f>
        <v/>
      </c>
      <c r="K43">
        <f>MIN(1,Farm_EU_data!$H$28/Farm_EU_data!$AF$28)</f>
        <v/>
      </c>
      <c r="L43">
        <f>B43</f>
        <v/>
      </c>
      <c r="M43">
        <f>AVERAGE(C43:K43)</f>
        <v/>
      </c>
      <c r="N43">
        <f>AVERAGE(C43:G43)</f>
        <v/>
      </c>
      <c r="O43">
        <f>AVERAGE(H43:K43)</f>
        <v/>
      </c>
    </row>
    <row r="44">
      <c r="A44" t="inlineStr">
        <is>
          <t>SK</t>
        </is>
      </c>
      <c r="B44">
        <f>MIN(1,Farm_EU_data!$AD$19/Farm_EU_data!$AF$19)</f>
        <v/>
      </c>
      <c r="C44">
        <f>MIN(1,Farm_EU_data!$AD$20/Farm_EU_data!$AF$20)</f>
        <v/>
      </c>
      <c r="D44">
        <f>MIN(1,Farm_EU_data!$AD$21/Farm_EU_data!$AF$21)</f>
        <v/>
      </c>
      <c r="E44">
        <f>MIN(1,Farm_EU_data!$AD$22/Farm_EU_data!$AF$22)</f>
        <v/>
      </c>
      <c r="F44">
        <f>MIN(1,Farm_EU_data!$AD$23/Farm_EU_data!$AF$23)</f>
        <v/>
      </c>
      <c r="G44">
        <f>MIN(1,Farm_EU_data!$AD$24/Farm_EU_data!$AF$24)</f>
        <v/>
      </c>
      <c r="H44">
        <f>MIN(1,Farm_EU_data!$AD$25/Farm_EU_data!$AF$25)</f>
        <v/>
      </c>
      <c r="I44">
        <f>MIN(1,Farm_EU_data!$AD$26/Farm_EU_data!$AF$26)</f>
        <v/>
      </c>
      <c r="J44">
        <f>MIN(1,Farm_EU_data!$AD$27/Farm_EU_data!$AF$27)</f>
        <v/>
      </c>
      <c r="K44">
        <f>MIN(1,Farm_EU_data!$AD$28/Farm_EU_data!$AF$28)</f>
        <v/>
      </c>
      <c r="L44">
        <f>B44</f>
        <v/>
      </c>
      <c r="M44">
        <f>AVERAGE(C44:K44)</f>
        <v/>
      </c>
      <c r="N44">
        <f>AVERAGE(C44:G44)</f>
        <v/>
      </c>
      <c r="O44">
        <f>AVERAGE(H44:K44)</f>
        <v/>
      </c>
    </row>
    <row r="45">
      <c r="A45" t="inlineStr">
        <is>
          <t>LT</t>
        </is>
      </c>
      <c r="B45">
        <f>MIN(1,Farm_EU_data!$T$19/Farm_EU_data!$AF$19)</f>
        <v/>
      </c>
      <c r="C45">
        <f>MIN(1,Farm_EU_data!$T$20/Farm_EU_data!$AF$20)</f>
        <v/>
      </c>
      <c r="D45">
        <f>MIN(1,Farm_EU_data!$T$21/Farm_EU_data!$AF$21)</f>
        <v/>
      </c>
      <c r="E45">
        <f>MIN(1,Farm_EU_data!$T$22/Farm_EU_data!$AF$22)</f>
        <v/>
      </c>
      <c r="F45">
        <f>MIN(1,Farm_EU_data!$T$23/Farm_EU_data!$AF$23)</f>
        <v/>
      </c>
      <c r="G45">
        <f>MIN(1,Farm_EU_data!$T$24/Farm_EU_data!$AF$24)</f>
        <v/>
      </c>
      <c r="H45">
        <f>MIN(1,Farm_EU_data!$T$25/Farm_EU_data!$AF$25)</f>
        <v/>
      </c>
      <c r="I45">
        <f>MIN(1,Farm_EU_data!$T$26/Farm_EU_data!$AF$26)</f>
        <v/>
      </c>
      <c r="J45">
        <f>MIN(1,Farm_EU_data!$T$27/Farm_EU_data!$AF$27)</f>
        <v/>
      </c>
      <c r="K45">
        <f>MIN(1,Farm_EU_data!$T$28/Farm_EU_data!$AF$28)</f>
        <v/>
      </c>
      <c r="L45">
        <f>B45</f>
        <v/>
      </c>
      <c r="M45">
        <f>AVERAGE(C45:K45)</f>
        <v/>
      </c>
      <c r="N45">
        <f>AVERAGE(C45:G45)</f>
        <v/>
      </c>
      <c r="O45">
        <f>AVERAGE(H45:K45)</f>
        <v/>
      </c>
    </row>
    <row r="46">
      <c r="A46" t="inlineStr">
        <is>
          <t>LV</t>
        </is>
      </c>
      <c r="B46">
        <f>MIN(1,Farm_EU_data!$V$19/Farm_EU_data!$AF$19)</f>
        <v/>
      </c>
      <c r="C46">
        <f>MIN(1,Farm_EU_data!$V$20/Farm_EU_data!$AF$20)</f>
        <v/>
      </c>
      <c r="D46">
        <f>MIN(1,Farm_EU_data!$V$21/Farm_EU_data!$AF$21)</f>
        <v/>
      </c>
      <c r="E46">
        <f>MIN(1,Farm_EU_data!$V$22/Farm_EU_data!$AF$22)</f>
        <v/>
      </c>
      <c r="F46">
        <f>MIN(1,Farm_EU_data!$V$23/Farm_EU_data!$AF$23)</f>
        <v/>
      </c>
      <c r="G46">
        <f>MIN(1,Farm_EU_data!$V$24/Farm_EU_data!$AF$24)</f>
        <v/>
      </c>
      <c r="H46">
        <f>MIN(1,Farm_EU_data!$V$25/Farm_EU_data!$AF$25)</f>
        <v/>
      </c>
      <c r="I46">
        <f>MIN(1,Farm_EU_data!$V$26/Farm_EU_data!$AF$26)</f>
        <v/>
      </c>
      <c r="J46">
        <f>MIN(1,Farm_EU_data!$V$27/Farm_EU_data!$AF$27)</f>
        <v/>
      </c>
      <c r="K46">
        <f>MIN(1,Farm_EU_data!$V$28/Farm_EU_data!$AF$28)</f>
        <v/>
      </c>
      <c r="L46">
        <f>B46</f>
        <v/>
      </c>
      <c r="M46">
        <f>AVERAGE(C46:K46)</f>
        <v/>
      </c>
      <c r="N46">
        <f>AVERAGE(C46:G46)</f>
        <v/>
      </c>
      <c r="O46">
        <f>AVERAGE(H46:K46)</f>
        <v/>
      </c>
    </row>
    <row r="47">
      <c r="A47" t="inlineStr">
        <is>
          <t>EE</t>
        </is>
      </c>
      <c r="B47">
        <f>MIN(1,Farm_EU_data!$K$19/Farm_EU_data!$AF$19)</f>
        <v/>
      </c>
      <c r="C47">
        <f>MIN(1,Farm_EU_data!$K$20/Farm_EU_data!$AF$20)</f>
        <v/>
      </c>
      <c r="D47">
        <f>MIN(1,Farm_EU_data!$K$21/Farm_EU_data!$AF$21)</f>
        <v/>
      </c>
      <c r="E47">
        <f>MIN(1,Farm_EU_data!$K$22/Farm_EU_data!$AF$22)</f>
        <v/>
      </c>
      <c r="F47">
        <f>MIN(1,Farm_EU_data!$K$23/Farm_EU_data!$AF$23)</f>
        <v/>
      </c>
      <c r="G47">
        <f>MIN(1,Farm_EU_data!$K$24/Farm_EU_data!$AF$24)</f>
        <v/>
      </c>
      <c r="H47">
        <f>MIN(1,Farm_EU_data!$K$25/Farm_EU_data!$AF$25)</f>
        <v/>
      </c>
      <c r="I47">
        <f>MIN(1,Farm_EU_data!$K$26/Farm_EU_data!$AF$26)</f>
        <v/>
      </c>
      <c r="J47">
        <f>MIN(1,Farm_EU_data!$K$27/Farm_EU_data!$AF$27)</f>
        <v/>
      </c>
      <c r="K47">
        <f>MIN(1,Farm_EU_data!$K$28/Farm_EU_data!$AF$28)</f>
        <v/>
      </c>
      <c r="L47">
        <f>B47</f>
        <v/>
      </c>
      <c r="M47">
        <f>AVERAGE(C47:K47)</f>
        <v/>
      </c>
      <c r="N47">
        <f>AVERAGE(C47:G47)</f>
        <v/>
      </c>
      <c r="O47">
        <f>AVERAGE(H47:K47)</f>
        <v/>
      </c>
    </row>
    <row r="48">
      <c r="A48" t="inlineStr">
        <is>
          <t>BG</t>
        </is>
      </c>
      <c r="B48">
        <f>MIN(1,Farm_EU_data!$F$19/Farm_EU_data!$AF$19)</f>
        <v/>
      </c>
      <c r="C48">
        <f>MIN(1,Farm_EU_data!$F$20/Farm_EU_data!$AF$20)</f>
        <v/>
      </c>
      <c r="D48">
        <f>MIN(1,Farm_EU_data!$F$21/Farm_EU_data!$AF$21)</f>
        <v/>
      </c>
      <c r="E48">
        <f>MIN(1,Farm_EU_data!$F$22/Farm_EU_data!$AF$22)</f>
        <v/>
      </c>
      <c r="F48">
        <f>MIN(1,Farm_EU_data!$F$23/Farm_EU_data!$AF$23)</f>
        <v/>
      </c>
      <c r="G48">
        <f>MIN(1,Farm_EU_data!$F$24/Farm_EU_data!$AF$24)</f>
        <v/>
      </c>
      <c r="H48">
        <f>MIN(1,Farm_EU_data!$F$25/Farm_EU_data!$AF$25)</f>
        <v/>
      </c>
      <c r="I48">
        <f>MIN(1,Farm_EU_data!$F$26/Farm_EU_data!$AF$26)</f>
        <v/>
      </c>
      <c r="J48">
        <f>MIN(1,Farm_EU_data!$F$27/Farm_EU_data!$AF$27)</f>
        <v/>
      </c>
      <c r="K48">
        <f>MIN(1,Farm_EU_data!$F$28/Farm_EU_data!$AF$28)</f>
        <v/>
      </c>
      <c r="L48">
        <f>B48</f>
        <v/>
      </c>
      <c r="M48">
        <f>AVERAGE(C48:K48)</f>
        <v/>
      </c>
      <c r="N48">
        <f>AVERAGE(C48:G48)</f>
        <v/>
      </c>
      <c r="O48">
        <f>AVERAGE(H48:K48)</f>
        <v/>
      </c>
    </row>
    <row r="49">
      <c r="A49" t="inlineStr">
        <is>
          <t>UA</t>
        </is>
      </c>
      <c r="B49">
        <f>MIN(1,Farm_UA_data!$H$4/Farm_EU_data!$AF$19)</f>
        <v/>
      </c>
      <c r="C49">
        <f>MIN(1,Farm_UA_data!$H$5/Farm_EU_data!$AF$20)</f>
        <v/>
      </c>
      <c r="D49">
        <f>MIN(1,Farm_UA_data!$H$6/Farm_EU_data!$AF$21)</f>
        <v/>
      </c>
      <c r="E49">
        <f>MIN(1,Farm_UA_data!$H$7/Farm_EU_data!$AF$22)</f>
        <v/>
      </c>
      <c r="F49">
        <f>MIN(1,Farm_UA_data!$H$8/Farm_EU_data!$AF$23)</f>
        <v/>
      </c>
      <c r="G49">
        <f>MIN(1,Farm_UA_data!$H$9/Farm_EU_data!$AF$24)</f>
        <v/>
      </c>
      <c r="H49">
        <f>MIN(1,Farm_UA_data!$H$10/Farm_EU_data!$AF$25)</f>
        <v/>
      </c>
      <c r="I49">
        <f>MIN(1,Farm_UA_data!$H$11/Farm_EU_data!$AF$26)</f>
        <v/>
      </c>
      <c r="J49">
        <f>MIN(1,Farm_UA_data!$H$12/Farm_EU_data!$AF$27)</f>
        <v/>
      </c>
      <c r="K49">
        <f>MIN(1,Farm_UA_data!$H$13/Farm_EU_data!$AF$28)</f>
        <v/>
      </c>
      <c r="L49">
        <f>B49</f>
        <v/>
      </c>
      <c r="M49">
        <f>AVERAGE(C49:K49)</f>
        <v/>
      </c>
      <c r="N49">
        <f>AVERAGE(C49:G49)</f>
        <v/>
      </c>
      <c r="O49">
        <f>AVERAGE(H49:K49)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20"/>
  <sheetViews>
    <sheetView workbookViewId="0">
      <selection activeCell="A1" sqref="A1"/>
    </sheetView>
  </sheetViews>
  <sheetFormatPr baseColWidth="8" defaultRowHeight="15"/>
  <sheetData>
    <row r="1">
      <c r="A1" s="1" t="inlineStr">
        <is>
          <t>Food processing (NACE C10-C12), enterprises 10+, % of enterprises: Eurostat and Derzhstat values</t>
        </is>
      </c>
    </row>
    <row r="3">
      <c r="A3" s="3" t="inlineStr">
        <is>
          <t>Pair</t>
        </is>
      </c>
      <c r="B3" s="3" t="inlineStr">
        <is>
          <t>Component</t>
        </is>
      </c>
      <c r="C3" s="3" t="inlineStr">
        <is>
          <t>Eurostat dataset</t>
        </is>
      </c>
      <c r="D3" s="3" t="inlineStr">
        <is>
          <t>Eurostat indicator</t>
        </is>
      </c>
      <c r="E3" s="3" t="inlineStr">
        <is>
          <t>Year EU</t>
        </is>
      </c>
      <c r="F3" s="3" t="inlineStr">
        <is>
          <t>Year UA</t>
        </is>
      </c>
      <c r="G3" s="3" t="inlineStr">
        <is>
          <t>AT</t>
        </is>
      </c>
      <c r="H3" s="3" t="inlineStr">
        <is>
          <t>BE</t>
        </is>
      </c>
      <c r="I3" s="3" t="inlineStr">
        <is>
          <t>BG</t>
        </is>
      </c>
      <c r="J3" s="3" t="inlineStr">
        <is>
          <t>CY</t>
        </is>
      </c>
      <c r="K3" s="3" t="inlineStr">
        <is>
          <t>CZ</t>
        </is>
      </c>
      <c r="L3" s="3" t="inlineStr">
        <is>
          <t>DE</t>
        </is>
      </c>
      <c r="M3" s="3" t="inlineStr">
        <is>
          <t>DK</t>
        </is>
      </c>
      <c r="N3" s="3" t="inlineStr">
        <is>
          <t>EE</t>
        </is>
      </c>
      <c r="O3" s="3" t="inlineStr">
        <is>
          <t>EL</t>
        </is>
      </c>
      <c r="P3" s="3" t="inlineStr">
        <is>
          <t>ES</t>
        </is>
      </c>
      <c r="Q3" s="3" t="inlineStr">
        <is>
          <t>FI</t>
        </is>
      </c>
      <c r="R3" s="3" t="inlineStr">
        <is>
          <t>FR</t>
        </is>
      </c>
      <c r="S3" s="3" t="inlineStr">
        <is>
          <t>HR</t>
        </is>
      </c>
      <c r="T3" s="3" t="inlineStr">
        <is>
          <t>HU</t>
        </is>
      </c>
      <c r="U3" s="3" t="inlineStr">
        <is>
          <t>IE</t>
        </is>
      </c>
      <c r="V3" s="3" t="inlineStr">
        <is>
          <t>IT</t>
        </is>
      </c>
      <c r="W3" s="3" t="inlineStr">
        <is>
          <t>LT</t>
        </is>
      </c>
      <c r="X3" s="3" t="inlineStr">
        <is>
          <t>LU</t>
        </is>
      </c>
      <c r="Y3" s="3" t="inlineStr">
        <is>
          <t>LV</t>
        </is>
      </c>
      <c r="Z3" s="3" t="inlineStr">
        <is>
          <t>MT</t>
        </is>
      </c>
      <c r="AA3" s="3" t="inlineStr">
        <is>
          <t>NL</t>
        </is>
      </c>
      <c r="AB3" s="3" t="inlineStr">
        <is>
          <t>PL</t>
        </is>
      </c>
      <c r="AC3" s="3" t="inlineStr">
        <is>
          <t>PT</t>
        </is>
      </c>
      <c r="AD3" s="3" t="inlineStr">
        <is>
          <t>RO</t>
        </is>
      </c>
      <c r="AE3" s="3" t="inlineStr">
        <is>
          <t>SE</t>
        </is>
      </c>
      <c r="AF3" s="3" t="inlineStr">
        <is>
          <t>SI</t>
        </is>
      </c>
      <c r="AG3" s="3" t="inlineStr">
        <is>
          <t>SK</t>
        </is>
      </c>
      <c r="AH3" s="3" t="inlineStr">
        <is>
          <t>EU27_2020</t>
        </is>
      </c>
      <c r="AI3" s="3" t="inlineStr">
        <is>
          <t>UA</t>
        </is>
      </c>
      <c r="AJ3" s="3" t="inlineStr">
        <is>
          <t>Leader value</t>
        </is>
      </c>
      <c r="AK3" s="3" t="inlineStr">
        <is>
          <t>Leader</t>
        </is>
      </c>
      <c r="AL3" s="3" t="inlineStr">
        <is>
          <t>Minimum (member states)</t>
        </is>
      </c>
      <c r="AM3" s="3" t="inlineStr">
        <is>
          <t>Eurostat DOI</t>
        </is>
      </c>
      <c r="AN3" s="3" t="inlineStr">
        <is>
          <t>Derzhstat link</t>
        </is>
      </c>
    </row>
    <row r="4">
      <c r="A4" t="inlineStr">
        <is>
          <t>ERP</t>
        </is>
      </c>
      <c r="B4" t="inlineStr">
        <is>
          <t>C</t>
        </is>
      </c>
      <c r="C4" t="inlineStr">
        <is>
          <t>isoc_eb_iipn2</t>
        </is>
      </c>
      <c r="D4" t="inlineStr">
        <is>
          <t>E_ERP1</t>
        </is>
      </c>
      <c r="E4" t="n">
        <v>2025</v>
      </c>
      <c r="F4" t="n">
        <v>2025</v>
      </c>
      <c r="G4" s="5" t="n">
        <v>39.48</v>
      </c>
      <c r="I4" s="5" t="n">
        <v>20.79</v>
      </c>
      <c r="J4" s="5" t="n">
        <v>51.17</v>
      </c>
      <c r="K4" s="5" t="n">
        <v>48.16</v>
      </c>
      <c r="L4" s="5" t="n">
        <v>36.76</v>
      </c>
      <c r="N4" s="5" t="n">
        <v>37.23</v>
      </c>
      <c r="O4" s="5" t="n">
        <v>64.7</v>
      </c>
      <c r="P4" s="5" t="n">
        <v>66.42</v>
      </c>
      <c r="R4" s="5" t="n">
        <v>44.73</v>
      </c>
      <c r="S4" s="5" t="n">
        <v>16.52</v>
      </c>
      <c r="T4" s="5" t="n">
        <v>28.07</v>
      </c>
      <c r="U4" s="5" t="n">
        <v>40.95</v>
      </c>
      <c r="V4" s="5" t="n">
        <v>48.97</v>
      </c>
      <c r="W4" s="5" t="n">
        <v>59.21</v>
      </c>
      <c r="Y4" s="5" t="n">
        <v>45.3</v>
      </c>
      <c r="Z4" s="5" t="n">
        <v>51.12</v>
      </c>
      <c r="AA4" s="5" t="n">
        <v>56.49</v>
      </c>
      <c r="AB4" s="5" t="n">
        <v>37.18</v>
      </c>
      <c r="AD4" s="5" t="n">
        <v>21.02</v>
      </c>
      <c r="AE4" s="5" t="n">
        <v>28.82</v>
      </c>
      <c r="AF4" s="5" t="n">
        <v>23.51</v>
      </c>
      <c r="AG4" s="5" t="n">
        <v>21.08</v>
      </c>
      <c r="AH4" s="5" t="n">
        <v>45.06</v>
      </c>
      <c r="AI4" s="5" t="n">
        <v>20.4</v>
      </c>
      <c r="AJ4">
        <f>MAX(G4:AG4)</f>
        <v/>
      </c>
      <c r="AK4">
        <f>INDEX($G$3:$AG$3,MATCH(AJ4,G4:AG4,0))</f>
        <v/>
      </c>
      <c r="AL4">
        <f>MIN(G4:AG4)</f>
        <v/>
      </c>
      <c r="AM4" t="inlineStr">
        <is>
          <t>https://doi.org/10.2908/ISOC_EB_IIPN2</t>
        </is>
      </c>
      <c r="AN4" t="inlineStr">
        <is>
          <t>https://stat.gov.ua/uk/explorer?urn=SSSU%3ADF_INFORM_COMMUN_TECH_ENTRP%28~%29</t>
        </is>
      </c>
    </row>
    <row r="5">
      <c r="A5" t="inlineStr">
        <is>
          <t>IOT_PRODUCTION</t>
        </is>
      </c>
      <c r="B5" t="inlineStr">
        <is>
          <t>C</t>
        </is>
      </c>
      <c r="C5" t="inlineStr">
        <is>
          <t>isoc_eb_iotn2</t>
        </is>
      </c>
      <c r="D5" t="inlineStr">
        <is>
          <t>E_IOTDPP</t>
        </is>
      </c>
      <c r="E5" t="n">
        <v>2021</v>
      </c>
      <c r="F5" t="n">
        <v>2022</v>
      </c>
      <c r="G5" s="5" t="n">
        <v>13.7</v>
      </c>
      <c r="I5" s="5" t="n">
        <v>5.36</v>
      </c>
      <c r="J5" s="5" t="n">
        <v>15.53</v>
      </c>
      <c r="K5" s="5" t="n">
        <v>15.03</v>
      </c>
      <c r="L5" s="5" t="n">
        <v>10.5</v>
      </c>
      <c r="M5" s="5" t="n">
        <v>4.82</v>
      </c>
      <c r="N5" s="5" t="n">
        <v>11.98</v>
      </c>
      <c r="O5" s="5" t="n">
        <v>5.78</v>
      </c>
      <c r="R5" s="5" t="n">
        <v>2.41</v>
      </c>
      <c r="S5" s="5" t="n">
        <v>3.9</v>
      </c>
      <c r="T5" s="5" t="n">
        <v>6.77</v>
      </c>
      <c r="U5" s="5" t="n">
        <v>11.38</v>
      </c>
      <c r="V5" s="5" t="n">
        <v>21.2</v>
      </c>
      <c r="W5" s="5" t="n">
        <v>13.88</v>
      </c>
      <c r="Y5" s="5" t="n">
        <v>14.43</v>
      </c>
      <c r="Z5" s="5" t="n">
        <v>16.37</v>
      </c>
      <c r="AA5" s="5" t="n">
        <v>9.17</v>
      </c>
      <c r="AB5" s="5" t="n">
        <v>6.4</v>
      </c>
      <c r="AC5" s="5" t="n">
        <v>2.28</v>
      </c>
      <c r="AD5" s="5" t="n">
        <v>3.04</v>
      </c>
      <c r="AE5" s="5" t="n">
        <v>19.37</v>
      </c>
      <c r="AF5" s="5" t="n">
        <v>17.6</v>
      </c>
      <c r="AG5" s="5" t="n">
        <v>11.25</v>
      </c>
      <c r="AH5" s="5" t="n">
        <v>9.68</v>
      </c>
      <c r="AI5" s="5" t="n">
        <v>2.2</v>
      </c>
      <c r="AJ5">
        <f>MAX(G5:AG5)</f>
        <v/>
      </c>
      <c r="AK5">
        <f>INDEX($G$3:$AG$3,MATCH(AJ5,G5:AG5,0))</f>
        <v/>
      </c>
      <c r="AL5">
        <f>MIN(G5:AG5)</f>
        <v/>
      </c>
      <c r="AM5" t="inlineStr">
        <is>
          <t>https://doi.org/10.2908/ISOC_EB_IOTN2</t>
        </is>
      </c>
      <c r="AN5" t="inlineStr">
        <is>
          <t>https://stat.gov.ua/uk/explorer?urn=SSSU%3ADF_INFORM_COMMUN_TECH_ENTRP%28~%29</t>
        </is>
      </c>
    </row>
    <row r="6">
      <c r="A6" t="inlineStr">
        <is>
          <t>ICT_SECURITY_DOCUMENT</t>
        </is>
      </c>
      <c r="B6" t="inlineStr">
        <is>
          <t>C</t>
        </is>
      </c>
      <c r="C6" t="inlineStr">
        <is>
          <t>isoc_cisce_ran2</t>
        </is>
      </c>
      <c r="D6" t="inlineStr">
        <is>
          <t>E_SECPOL2</t>
        </is>
      </c>
      <c r="E6" t="n">
        <v>2024</v>
      </c>
      <c r="F6" t="n">
        <v>2023</v>
      </c>
      <c r="G6" s="5" t="n">
        <v>16.94</v>
      </c>
      <c r="I6" s="5" t="n">
        <v>5.87</v>
      </c>
      <c r="J6" s="5" t="n">
        <v>23.67</v>
      </c>
      <c r="K6" s="5" t="n">
        <v>16.8</v>
      </c>
      <c r="L6" s="5" t="n">
        <v>25.81</v>
      </c>
      <c r="M6" s="5" t="n">
        <v>36.4</v>
      </c>
      <c r="N6" s="5" t="n">
        <v>40.14</v>
      </c>
      <c r="O6" s="5" t="n">
        <v>13.84</v>
      </c>
      <c r="P6" s="5" t="n">
        <v>30.13</v>
      </c>
      <c r="R6" s="5" t="n">
        <v>14.9</v>
      </c>
      <c r="S6" s="5" t="n">
        <v>9.32</v>
      </c>
      <c r="T6" s="5" t="n">
        <v>8.949999999999999</v>
      </c>
      <c r="U6" s="5" t="n">
        <v>65.84999999999999</v>
      </c>
      <c r="V6" s="5" t="n">
        <v>30.27</v>
      </c>
      <c r="W6" s="5" t="n">
        <v>35.41</v>
      </c>
      <c r="Y6" s="5" t="n">
        <v>50.69</v>
      </c>
      <c r="Z6" s="5" t="n">
        <v>16.51</v>
      </c>
      <c r="AA6" s="5" t="n">
        <v>34.67</v>
      </c>
      <c r="AB6" s="5" t="n">
        <v>30.78</v>
      </c>
      <c r="AC6" s="5" t="n">
        <v>53.98</v>
      </c>
      <c r="AD6" s="5" t="n">
        <v>56.74</v>
      </c>
      <c r="AE6" s="5" t="n">
        <v>34.96</v>
      </c>
      <c r="AF6" s="5" t="n">
        <v>31.73</v>
      </c>
      <c r="AG6" s="5" t="n">
        <v>13.44</v>
      </c>
      <c r="AH6" s="5" t="n">
        <v>26.68</v>
      </c>
      <c r="AI6" s="5" t="n">
        <v>7.3</v>
      </c>
      <c r="AJ6">
        <f>MAX(G6:AG6)</f>
        <v/>
      </c>
      <c r="AK6">
        <f>INDEX($G$3:$AG$3,MATCH(AJ6,G6:AG6,0))</f>
        <v/>
      </c>
      <c r="AL6">
        <f>MIN(G6:AG6)</f>
        <v/>
      </c>
      <c r="AM6" t="inlineStr">
        <is>
          <t>https://doi.org/10.2908/ISOC_CISCE_RAN2</t>
        </is>
      </c>
      <c r="AN6" t="inlineStr">
        <is>
          <t>https://stat.gov.ua/uk/explorer?urn=SSSU%3ADF_INFORM_COMMUN_TECH_ENTRP%28~%29</t>
        </is>
      </c>
    </row>
    <row r="7">
      <c r="A7" t="inlineStr">
        <is>
          <t>ICT_TRAINING_ICT_SPECIALISTS</t>
        </is>
      </c>
      <c r="B7" t="inlineStr">
        <is>
          <t>L1</t>
        </is>
      </c>
      <c r="C7" t="inlineStr">
        <is>
          <t>isoc_ske_ittn2</t>
        </is>
      </c>
      <c r="D7" t="inlineStr">
        <is>
          <t>E_ITSPT2</t>
        </is>
      </c>
      <c r="E7" t="n">
        <v>2024</v>
      </c>
      <c r="F7" t="n">
        <v>2025</v>
      </c>
      <c r="G7" s="5" t="n">
        <v>11.97</v>
      </c>
      <c r="H7" s="5" t="n">
        <v>17.83</v>
      </c>
      <c r="I7" s="5" t="n">
        <v>2.11</v>
      </c>
      <c r="J7" s="5" t="n">
        <v>7.35</v>
      </c>
      <c r="K7" s="5" t="n">
        <v>7.5</v>
      </c>
      <c r="L7" s="5" t="n">
        <v>6.39</v>
      </c>
      <c r="M7" s="5" t="n">
        <v>13.25</v>
      </c>
      <c r="N7" s="5" t="n">
        <v>4.53</v>
      </c>
      <c r="O7" s="5" t="n">
        <v>6.84</v>
      </c>
      <c r="P7" s="5" t="n">
        <v>6.37</v>
      </c>
      <c r="R7" s="5" t="n">
        <v>3.13</v>
      </c>
      <c r="S7" s="5" t="n">
        <v>3.32</v>
      </c>
      <c r="T7" s="5" t="n">
        <v>5.78</v>
      </c>
      <c r="U7" s="5" t="n">
        <v>18.08</v>
      </c>
      <c r="V7" s="5" t="n">
        <v>6.21</v>
      </c>
      <c r="W7" s="5" t="n">
        <v>7.73</v>
      </c>
      <c r="Y7" s="5" t="n">
        <v>6.16</v>
      </c>
      <c r="Z7" s="5" t="n">
        <v>12.92</v>
      </c>
      <c r="AA7" s="5" t="n">
        <v>17.3</v>
      </c>
      <c r="AB7" s="5" t="n">
        <v>13.48</v>
      </c>
      <c r="AC7" s="5" t="n">
        <v>8.140000000000001</v>
      </c>
      <c r="AD7" s="5" t="n">
        <v>5.75</v>
      </c>
      <c r="AE7" s="5" t="n">
        <v>5.46</v>
      </c>
      <c r="AF7" s="5" t="n">
        <v>6.87</v>
      </c>
      <c r="AG7" s="5" t="n">
        <v>4.16</v>
      </c>
      <c r="AH7" s="5" t="n">
        <v>7.1</v>
      </c>
      <c r="AI7" s="5" t="n">
        <v>5</v>
      </c>
      <c r="AJ7">
        <f>MAX(G7:AG7)</f>
        <v/>
      </c>
      <c r="AK7">
        <f>INDEX($G$3:$AG$3,MATCH(AJ7,G7:AG7,0))</f>
        <v/>
      </c>
      <c r="AL7">
        <f>MIN(G7:AG7)</f>
        <v/>
      </c>
      <c r="AM7" t="inlineStr">
        <is>
          <t>https://doi.org/10.2908/ISOC_SKE_ITTN2</t>
        </is>
      </c>
      <c r="AN7" t="inlineStr">
        <is>
          <t>https://stat.gov.ua/uk/explorer?urn=SSSU%3ADF_INFORM_COMMUN_TECH_ENTRP%28~%29</t>
        </is>
      </c>
    </row>
    <row r="8">
      <c r="A8" t="inlineStr">
        <is>
          <t>ICT_TRAINING_OTHER_EMPLOYEES</t>
        </is>
      </c>
      <c r="B8" t="inlineStr">
        <is>
          <t>L1</t>
        </is>
      </c>
      <c r="C8" t="inlineStr">
        <is>
          <t>isoc_ske_ittn2</t>
        </is>
      </c>
      <c r="D8" t="inlineStr">
        <is>
          <t>E_ITUST2</t>
        </is>
      </c>
      <c r="E8" t="n">
        <v>2024</v>
      </c>
      <c r="F8" t="n">
        <v>2025</v>
      </c>
      <c r="G8" s="5" t="n">
        <v>11.14</v>
      </c>
      <c r="H8" s="5" t="n">
        <v>32.41</v>
      </c>
      <c r="I8" s="5" t="n">
        <v>3.31</v>
      </c>
      <c r="J8" s="5" t="n">
        <v>19.74</v>
      </c>
      <c r="K8" s="5" t="n">
        <v>15.92</v>
      </c>
      <c r="L8" s="5" t="n">
        <v>13.32</v>
      </c>
      <c r="M8" s="5" t="n">
        <v>19.46</v>
      </c>
      <c r="N8" s="5" t="n">
        <v>16.59</v>
      </c>
      <c r="O8" s="5" t="n">
        <v>8.35</v>
      </c>
      <c r="P8" s="5" t="n">
        <v>21.08</v>
      </c>
      <c r="R8" s="5" t="n">
        <v>7.03</v>
      </c>
      <c r="S8" s="5" t="n">
        <v>11.54</v>
      </c>
      <c r="T8" s="5" t="n">
        <v>9.220000000000001</v>
      </c>
      <c r="U8" s="5" t="n">
        <v>33.89</v>
      </c>
      <c r="V8" s="5" t="n">
        <v>15.66</v>
      </c>
      <c r="W8" s="5" t="n">
        <v>11.97</v>
      </c>
      <c r="Y8" s="5" t="n">
        <v>6.63</v>
      </c>
      <c r="Z8" s="5" t="n">
        <v>23.69</v>
      </c>
      <c r="AA8" s="5" t="n">
        <v>23.72</v>
      </c>
      <c r="AB8" s="5" t="n">
        <v>17.33</v>
      </c>
      <c r="AC8" s="5" t="n">
        <v>26.75</v>
      </c>
      <c r="AD8" s="5" t="n">
        <v>5.59</v>
      </c>
      <c r="AE8" s="5" t="n">
        <v>18.39</v>
      </c>
      <c r="AF8" s="5" t="n">
        <v>19.77</v>
      </c>
      <c r="AG8" s="5" t="n">
        <v>8.130000000000001</v>
      </c>
      <c r="AH8" s="5" t="n">
        <v>14.36</v>
      </c>
      <c r="AI8" s="5" t="n">
        <v>6.5</v>
      </c>
      <c r="AJ8">
        <f>MAX(G8:AG8)</f>
        <v/>
      </c>
      <c r="AK8">
        <f>INDEX($G$3:$AG$3,MATCH(AJ8,G8:AG8,0))</f>
        <v/>
      </c>
      <c r="AL8">
        <f>MIN(G8:AG8)</f>
        <v/>
      </c>
      <c r="AM8" t="inlineStr">
        <is>
          <t>https://doi.org/10.2908/ISOC_SKE_ITTN2</t>
        </is>
      </c>
      <c r="AN8" t="inlineStr">
        <is>
          <t>https://stat.gov.ua/uk/explorer?urn=SSSU%3ADF_INFORM_COMMUN_TECH_ENTRP%28~%29</t>
        </is>
      </c>
    </row>
    <row r="9">
      <c r="A9" t="inlineStr">
        <is>
          <t>SUPPLY_CHAIN_DATA_EXCHANGE</t>
        </is>
      </c>
      <c r="B9" t="inlineStr">
        <is>
          <t>L2</t>
        </is>
      </c>
      <c r="C9" t="inlineStr">
        <is>
          <t>isoc_eb_icsn2</t>
        </is>
      </c>
      <c r="D9" t="inlineStr">
        <is>
          <t>E_SISC</t>
        </is>
      </c>
      <c r="E9" t="n">
        <v>2023</v>
      </c>
      <c r="F9" t="n">
        <v>2025</v>
      </c>
      <c r="G9" s="5" t="n">
        <v>25.73</v>
      </c>
      <c r="I9" s="5" t="n">
        <v>10.11</v>
      </c>
      <c r="J9" s="5" t="n">
        <v>8.77</v>
      </c>
      <c r="K9" s="5" t="n">
        <v>37.12</v>
      </c>
      <c r="L9" s="5" t="n">
        <v>26.65</v>
      </c>
      <c r="M9" s="5" t="n">
        <v>36.49</v>
      </c>
      <c r="N9" s="5" t="n">
        <v>32.43</v>
      </c>
      <c r="O9" s="5" t="n">
        <v>13.83</v>
      </c>
      <c r="R9" s="5" t="n">
        <v>19.35</v>
      </c>
      <c r="S9" s="5" t="n">
        <v>5.55</v>
      </c>
      <c r="U9" s="5" t="n">
        <v>35.87</v>
      </c>
      <c r="V9" s="5" t="n">
        <v>15.52</v>
      </c>
      <c r="W9" s="5" t="n">
        <v>27.11</v>
      </c>
      <c r="Y9" s="5" t="n">
        <v>20.34</v>
      </c>
      <c r="Z9" s="5" t="n">
        <v>13.18</v>
      </c>
      <c r="AA9" s="5" t="n">
        <v>37.45</v>
      </c>
      <c r="AB9" s="5" t="n">
        <v>23.63</v>
      </c>
      <c r="AC9" s="5" t="n">
        <v>20.25</v>
      </c>
      <c r="AD9" s="5" t="n">
        <v>9.779999999999999</v>
      </c>
      <c r="AE9" s="5" t="n">
        <v>14.93</v>
      </c>
      <c r="AF9" s="5" t="n">
        <v>52.82</v>
      </c>
      <c r="AG9" s="5" t="n">
        <v>34.14</v>
      </c>
      <c r="AH9" s="5" t="n">
        <v>23.16</v>
      </c>
      <c r="AI9" s="5" t="n">
        <v>31.6</v>
      </c>
      <c r="AJ9">
        <f>MAX(G9:AG9)</f>
        <v/>
      </c>
      <c r="AK9">
        <f>INDEX($G$3:$AG$3,MATCH(AJ9,G9:AG9,0))</f>
        <v/>
      </c>
      <c r="AL9">
        <f>MIN(G9:AG9)</f>
        <v/>
      </c>
      <c r="AM9" t="inlineStr">
        <is>
          <t>https://doi.org/10.2908/ISOC_EB_ICSN2</t>
        </is>
      </c>
      <c r="AN9" t="inlineStr">
        <is>
          <t>https://stat.gov.ua/uk/explorer?urn=SSSU%3ADF_INFORM_COMMUN_TECH_ENTRP%28~%29</t>
        </is>
      </c>
    </row>
    <row r="10">
      <c r="A10" t="inlineStr">
        <is>
          <t>DATA_ANALYTICS</t>
        </is>
      </c>
      <c r="B10" t="inlineStr">
        <is>
          <t>L2</t>
        </is>
      </c>
      <c r="C10" t="inlineStr">
        <is>
          <t>isoc_eb_dan2</t>
        </is>
      </c>
      <c r="D10" t="inlineStr">
        <is>
          <t>E_DA</t>
        </is>
      </c>
      <c r="E10" t="n">
        <v>2025</v>
      </c>
      <c r="F10" t="n">
        <v>2025</v>
      </c>
      <c r="G10" s="5" t="n">
        <v>19.32</v>
      </c>
      <c r="I10" s="5" t="n">
        <v>22.86</v>
      </c>
      <c r="J10" s="5" t="n">
        <v>47.21</v>
      </c>
      <c r="K10" s="5" t="n">
        <v>41.51</v>
      </c>
      <c r="L10" s="5" t="n">
        <v>33.79</v>
      </c>
      <c r="N10" s="5" t="n">
        <v>50.27</v>
      </c>
      <c r="O10" s="5" t="n">
        <v>36.33</v>
      </c>
      <c r="P10" s="5" t="n">
        <v>45.34</v>
      </c>
      <c r="R10" s="5" t="n">
        <v>31.46</v>
      </c>
      <c r="S10" s="5" t="n">
        <v>33.34</v>
      </c>
      <c r="T10" s="5" t="n">
        <v>42.83</v>
      </c>
      <c r="U10" s="5" t="n">
        <v>48.26</v>
      </c>
      <c r="V10" s="5" t="n">
        <v>50</v>
      </c>
      <c r="W10" s="5" t="n">
        <v>66.58</v>
      </c>
      <c r="Y10" s="5" t="n">
        <v>46.34</v>
      </c>
      <c r="Z10" s="5" t="n">
        <v>46.72</v>
      </c>
      <c r="AA10" s="5" t="n">
        <v>53.28</v>
      </c>
      <c r="AB10" s="5" t="n">
        <v>18.72</v>
      </c>
      <c r="AD10" s="5" t="n">
        <v>31.63</v>
      </c>
      <c r="AE10" s="5" t="n">
        <v>35.44</v>
      </c>
      <c r="AF10" s="5" t="n">
        <v>33.44</v>
      </c>
      <c r="AG10" s="5" t="n">
        <v>29.39</v>
      </c>
      <c r="AH10" s="5" t="n">
        <v>37.73</v>
      </c>
      <c r="AI10" s="5" t="n">
        <v>21.3</v>
      </c>
      <c r="AJ10">
        <f>MAX(G10:AG10)</f>
        <v/>
      </c>
      <c r="AK10">
        <f>INDEX($G$3:$AG$3,MATCH(AJ10,G10:AG10,0))</f>
        <v/>
      </c>
      <c r="AL10">
        <f>MIN(G10:AG10)</f>
        <v/>
      </c>
      <c r="AM10" t="inlineStr">
        <is>
          <t>https://doi.org/10.2908/ISOC_EB_DAN2</t>
        </is>
      </c>
      <c r="AN10" t="inlineStr">
        <is>
          <t>https://stat.gov.ua/uk/explorer?urn=SSSU%3ADF_INFORM_COMMUN_TECH_ENTRP%28~%29</t>
        </is>
      </c>
    </row>
    <row r="11">
      <c r="A11" t="inlineStr">
        <is>
          <t>IOT_ANY</t>
        </is>
      </c>
      <c r="B11" t="inlineStr">
        <is>
          <t>L2</t>
        </is>
      </c>
      <c r="C11" t="inlineStr">
        <is>
          <t>isoc_eb_iotn2</t>
        </is>
      </c>
      <c r="D11" t="inlineStr">
        <is>
          <t>E_IOT1</t>
        </is>
      </c>
      <c r="E11" t="n">
        <v>2021</v>
      </c>
      <c r="F11" t="n">
        <v>2022</v>
      </c>
      <c r="I11" s="5" t="n">
        <v>15.28</v>
      </c>
      <c r="J11" s="5" t="n">
        <v>43.71</v>
      </c>
      <c r="K11" s="5" t="n">
        <v>34.29</v>
      </c>
      <c r="L11" s="5" t="n">
        <v>38.22</v>
      </c>
      <c r="M11" s="5" t="n">
        <v>24.38</v>
      </c>
      <c r="N11" s="5" t="n">
        <v>25.37</v>
      </c>
      <c r="O11" s="5" t="n">
        <v>23.44</v>
      </c>
      <c r="R11" s="5" t="n">
        <v>20.42</v>
      </c>
      <c r="S11" s="5" t="n">
        <v>22.37</v>
      </c>
      <c r="T11" s="5" t="n">
        <v>21.11</v>
      </c>
      <c r="U11" s="5" t="n">
        <v>40.67</v>
      </c>
      <c r="V11" s="5" t="n">
        <v>40.33</v>
      </c>
      <c r="W11" s="5" t="n">
        <v>37.8</v>
      </c>
      <c r="Y11" s="5" t="n">
        <v>30.05</v>
      </c>
      <c r="Z11" s="5" t="n">
        <v>34.88</v>
      </c>
      <c r="AA11" s="5" t="n">
        <v>29.12</v>
      </c>
      <c r="AB11" s="5" t="n">
        <v>15.84</v>
      </c>
      <c r="AC11" s="5" t="n">
        <v>16.76</v>
      </c>
      <c r="AD11" s="5" t="n">
        <v>10.11</v>
      </c>
      <c r="AE11" s="5" t="n">
        <v>49.89</v>
      </c>
      <c r="AF11" s="5" t="n">
        <v>46.66</v>
      </c>
      <c r="AG11" s="5" t="n">
        <v>35.54</v>
      </c>
      <c r="AH11" s="5" t="n">
        <v>29.43</v>
      </c>
      <c r="AI11" s="5" t="n">
        <v>9.4</v>
      </c>
      <c r="AJ11">
        <f>MAX(G11:AG11)</f>
        <v/>
      </c>
      <c r="AK11">
        <f>INDEX($G$3:$AG$3,MATCH(AJ11,G11:AG11,0))</f>
        <v/>
      </c>
      <c r="AL11">
        <f>MIN(G11:AG11)</f>
        <v/>
      </c>
      <c r="AM11" t="inlineStr">
        <is>
          <t>https://doi.org/10.2908/ISOC_EB_IOTN2</t>
        </is>
      </c>
      <c r="AN11" t="inlineStr">
        <is>
          <t>https://stat.gov.ua/uk/explorer?urn=SSSU%3ADF_INFORM_COMMUN_TECH_ENTRP%28~%29</t>
        </is>
      </c>
    </row>
    <row r="12">
      <c r="A12" t="inlineStr">
        <is>
          <t>MOBILE_INTERNET</t>
        </is>
      </c>
      <c r="B12" t="inlineStr">
        <is>
          <t>L3</t>
        </is>
      </c>
      <c r="C12" t="inlineStr">
        <is>
          <t>isoc_cimobe_usen2</t>
        </is>
      </c>
      <c r="D12" t="inlineStr">
        <is>
          <t>E_EMPMD2_GT0</t>
        </is>
      </c>
      <c r="E12" t="n">
        <v>2024</v>
      </c>
      <c r="F12" t="n">
        <v>2023</v>
      </c>
      <c r="I12" s="5" t="n">
        <v>72.42</v>
      </c>
      <c r="J12" s="5" t="n">
        <v>87.13</v>
      </c>
      <c r="K12" s="5" t="n">
        <v>81.73</v>
      </c>
      <c r="L12" s="5" t="n">
        <v>86.34</v>
      </c>
      <c r="N12" s="5" t="n">
        <v>85.59</v>
      </c>
      <c r="O12" s="5" t="n">
        <v>64.55</v>
      </c>
      <c r="P12" s="5" t="n">
        <v>88.83</v>
      </c>
      <c r="R12" s="5" t="n">
        <v>79.45999999999999</v>
      </c>
      <c r="T12" s="5" t="n">
        <v>70.48</v>
      </c>
      <c r="U12" s="5" t="n">
        <v>89.95</v>
      </c>
      <c r="W12" s="5" t="n">
        <v>94.02</v>
      </c>
      <c r="Y12" s="5" t="n">
        <v>89.95999999999999</v>
      </c>
      <c r="Z12" s="5" t="n">
        <v>87.43000000000001</v>
      </c>
      <c r="AA12" s="5" t="n">
        <v>74.41</v>
      </c>
      <c r="AB12" s="5" t="n">
        <v>87.56</v>
      </c>
      <c r="AC12" s="5" t="n">
        <v>84.66</v>
      </c>
      <c r="AD12" s="5" t="n">
        <v>81.61</v>
      </c>
      <c r="AF12" s="5" t="n">
        <v>95.81</v>
      </c>
      <c r="AG12" s="5" t="n">
        <v>58.74</v>
      </c>
      <c r="AH12" s="5" t="n">
        <v>82.47</v>
      </c>
      <c r="AI12" s="5" t="n">
        <v>45.9</v>
      </c>
      <c r="AJ12">
        <f>MAX(G12:AG12)</f>
        <v/>
      </c>
      <c r="AK12">
        <f>INDEX($G$3:$AG$3,MATCH(AJ12,G12:AG12,0))</f>
        <v/>
      </c>
      <c r="AL12">
        <f>MIN(G12:AG12)</f>
        <v/>
      </c>
      <c r="AM12" t="inlineStr">
        <is>
          <t>https://doi.org/10.2908/ISOC_CIMOBE_USEN2</t>
        </is>
      </c>
      <c r="AN12" t="inlineStr">
        <is>
          <t>https://stat.gov.ua/uk/explorer?urn=SSSU%3ADF_INFORM_COMMUN_TECH_ENTRP%28~%29</t>
        </is>
      </c>
    </row>
    <row r="13">
      <c r="A13" t="inlineStr">
        <is>
          <t>PAID_CLOUD</t>
        </is>
      </c>
      <c r="B13" t="inlineStr">
        <is>
          <t>L3</t>
        </is>
      </c>
      <c r="C13" t="inlineStr">
        <is>
          <t>isoc_cicce_usen2</t>
        </is>
      </c>
      <c r="D13" t="inlineStr">
        <is>
          <t>E_CC</t>
        </is>
      </c>
      <c r="E13" t="n">
        <v>2025</v>
      </c>
      <c r="F13" t="n">
        <v>2025</v>
      </c>
      <c r="G13" s="5" t="n">
        <v>45.99</v>
      </c>
      <c r="I13" s="5" t="n">
        <v>11.32</v>
      </c>
      <c r="J13" s="5" t="n">
        <v>47.05</v>
      </c>
      <c r="K13" s="5" t="n">
        <v>42.58</v>
      </c>
      <c r="L13" s="5" t="n">
        <v>39.13</v>
      </c>
      <c r="N13" s="5" t="n">
        <v>65.76000000000001</v>
      </c>
      <c r="O13" s="5" t="n">
        <v>21.58</v>
      </c>
      <c r="P13" s="5" t="n">
        <v>35.36</v>
      </c>
      <c r="R13" s="5" t="n">
        <v>25.15</v>
      </c>
      <c r="S13" s="5" t="n">
        <v>29.31</v>
      </c>
      <c r="T13" s="5" t="n">
        <v>33.93</v>
      </c>
      <c r="U13" s="5" t="n">
        <v>71.23</v>
      </c>
      <c r="V13" s="5" t="n">
        <v>67.77</v>
      </c>
      <c r="W13" s="5" t="n">
        <v>58.23</v>
      </c>
      <c r="Y13" s="5" t="n">
        <v>33.37</v>
      </c>
      <c r="Z13" s="5" t="n">
        <v>57.71</v>
      </c>
      <c r="AA13" s="5" t="n">
        <v>62.97</v>
      </c>
      <c r="AB13" s="5" t="n">
        <v>45.08</v>
      </c>
      <c r="AC13" s="5" t="n">
        <v>33.02</v>
      </c>
      <c r="AD13" s="5" t="n">
        <v>18.73</v>
      </c>
      <c r="AE13" s="5" t="n">
        <v>64.58</v>
      </c>
      <c r="AF13" s="5" t="n">
        <v>32.28</v>
      </c>
      <c r="AG13" s="5" t="n">
        <v>35.09</v>
      </c>
      <c r="AH13" s="5" t="n">
        <v>40.88</v>
      </c>
      <c r="AI13" s="5" t="n">
        <v>16.9</v>
      </c>
      <c r="AJ13">
        <f>MAX(G13:AG13)</f>
        <v/>
      </c>
      <c r="AK13">
        <f>INDEX($G$3:$AG$3,MATCH(AJ13,G13:AG13,0))</f>
        <v/>
      </c>
      <c r="AL13">
        <f>MIN(G13:AG13)</f>
        <v/>
      </c>
      <c r="AM13" t="inlineStr">
        <is>
          <t>https://doi.org/10.2908/ISOC_CICCE_USEN2</t>
        </is>
      </c>
      <c r="AN13" t="inlineStr">
        <is>
          <t>https://stat.gov.ua/uk/explorer?urn=SSSU%3ADF_INFORM_COMMUN_TECH_ENTRP%28~%29</t>
        </is>
      </c>
    </row>
    <row r="14">
      <c r="A14" t="inlineStr">
        <is>
          <t>ECOMMERCE_SALES</t>
        </is>
      </c>
      <c r="B14" t="inlineStr">
        <is>
          <t>L4</t>
        </is>
      </c>
      <c r="C14" t="inlineStr">
        <is>
          <t>isoc_ec_eseln2</t>
        </is>
      </c>
      <c r="D14" t="inlineStr">
        <is>
          <t>E_AESELL</t>
        </is>
      </c>
      <c r="E14" t="n">
        <v>2025</v>
      </c>
      <c r="F14" t="n">
        <v>2025</v>
      </c>
      <c r="G14" s="5" t="n">
        <v>45.69</v>
      </c>
      <c r="I14" s="5" t="n">
        <v>14.76</v>
      </c>
      <c r="J14" s="5" t="n">
        <v>24.96</v>
      </c>
      <c r="K14" s="5" t="n">
        <v>40.98</v>
      </c>
      <c r="L14" s="5" t="n">
        <v>33.04</v>
      </c>
      <c r="N14" s="5" t="n">
        <v>46.96</v>
      </c>
      <c r="O14" s="5" t="n">
        <v>14.51</v>
      </c>
      <c r="P14" s="5" t="n">
        <v>52.06</v>
      </c>
      <c r="R14" s="5" t="n">
        <v>33.28</v>
      </c>
      <c r="S14" s="5" t="n">
        <v>18.59</v>
      </c>
      <c r="T14" s="5" t="n">
        <v>26.74</v>
      </c>
      <c r="U14" s="5" t="n">
        <v>60.76</v>
      </c>
      <c r="V14" s="5" t="n">
        <v>29.37</v>
      </c>
      <c r="W14" s="5" t="n">
        <v>60.44</v>
      </c>
      <c r="Y14" s="5" t="n">
        <v>41.87</v>
      </c>
      <c r="Z14" s="5" t="n">
        <v>31.23</v>
      </c>
      <c r="AA14" s="5" t="n">
        <v>62.2</v>
      </c>
      <c r="AB14" s="5" t="n">
        <v>19.19</v>
      </c>
      <c r="AD14" s="5" t="n">
        <v>21.05</v>
      </c>
      <c r="AE14" s="5" t="n">
        <v>50.49</v>
      </c>
      <c r="AF14" s="5" t="n">
        <v>37.9</v>
      </c>
      <c r="AG14" s="5" t="n">
        <v>42.72</v>
      </c>
      <c r="AH14" s="5" t="n">
        <v>34.16</v>
      </c>
      <c r="AI14" s="5" t="n">
        <v>16.8</v>
      </c>
      <c r="AJ14">
        <f>MAX(G14:AG14)</f>
        <v/>
      </c>
      <c r="AK14">
        <f>INDEX($G$3:$AG$3,MATCH(AJ14,G14:AG14,0))</f>
        <v/>
      </c>
      <c r="AL14">
        <f>MIN(G14:AG14)</f>
        <v/>
      </c>
      <c r="AM14" t="inlineStr">
        <is>
          <t>https://doi.org/10.2908/ISOC_EC_ESELN2</t>
        </is>
      </c>
      <c r="AN14" t="inlineStr">
        <is>
          <t>https://stat.gov.ua/uk/explorer?urn=SSSU%3ADF_INFORM_COMMUN_TECH_ENTRP%28~%29</t>
        </is>
      </c>
    </row>
    <row r="15">
      <c r="A15" t="inlineStr">
        <is>
          <t>WEBSITE</t>
        </is>
      </c>
      <c r="B15" t="inlineStr">
        <is>
          <t>L4</t>
        </is>
      </c>
      <c r="C15" t="inlineStr">
        <is>
          <t>isoc_ciwebn2</t>
        </is>
      </c>
      <c r="D15" t="inlineStr">
        <is>
          <t>E_WEB</t>
        </is>
      </c>
      <c r="E15" t="n">
        <v>2025</v>
      </c>
      <c r="F15" t="n">
        <v>2025</v>
      </c>
      <c r="G15" s="5" t="n">
        <v>82.38</v>
      </c>
      <c r="I15" s="5" t="n">
        <v>45.61</v>
      </c>
      <c r="J15" s="5" t="n">
        <v>60.54</v>
      </c>
      <c r="K15" s="5" t="n">
        <v>79.11</v>
      </c>
      <c r="L15" s="5" t="n">
        <v>87.90000000000001</v>
      </c>
      <c r="M15" s="5" t="n">
        <v>97.47</v>
      </c>
      <c r="N15" s="5" t="n">
        <v>69.47</v>
      </c>
      <c r="O15" s="5" t="n">
        <v>62.49</v>
      </c>
      <c r="P15" s="5" t="n">
        <v>85.84</v>
      </c>
      <c r="R15" s="5" t="n">
        <v>57.94</v>
      </c>
      <c r="S15" s="5" t="n">
        <v>37.97</v>
      </c>
      <c r="T15" s="5" t="n">
        <v>58.88</v>
      </c>
      <c r="U15" s="5" t="n">
        <v>82.14</v>
      </c>
      <c r="V15" s="5" t="n">
        <v>77.48999999999999</v>
      </c>
      <c r="W15" s="5" t="n">
        <v>81.56999999999999</v>
      </c>
      <c r="Y15" s="5" t="n">
        <v>67.79000000000001</v>
      </c>
      <c r="Z15" s="5" t="n">
        <v>73.75</v>
      </c>
      <c r="AA15" s="5" t="n">
        <v>90.77</v>
      </c>
      <c r="AB15" s="5" t="n">
        <v>57.15</v>
      </c>
      <c r="AD15" s="5" t="n">
        <v>50.19</v>
      </c>
      <c r="AE15" s="5" t="n">
        <v>91.5</v>
      </c>
      <c r="AF15" s="5" t="n">
        <v>82.94</v>
      </c>
      <c r="AG15" s="5" t="n">
        <v>72.42</v>
      </c>
      <c r="AH15" s="5" t="n">
        <v>71.83</v>
      </c>
      <c r="AI15" s="5" t="n">
        <v>43</v>
      </c>
      <c r="AJ15">
        <f>MAX(G15:AG15)</f>
        <v/>
      </c>
      <c r="AK15">
        <f>INDEX($G$3:$AG$3,MATCH(AJ15,G15:AG15,0))</f>
        <v/>
      </c>
      <c r="AL15">
        <f>MIN(G15:AG15)</f>
        <v/>
      </c>
      <c r="AM15" t="inlineStr">
        <is>
          <t>https://doi.org/10.2908/ISOC_CIWEBN2</t>
        </is>
      </c>
      <c r="AN15" t="inlineStr">
        <is>
          <t>https://stat.gov.ua/uk/explorer?urn=SSSU%3ADF_INFORM_COMMUN_TECH_ENTRP%28~%29</t>
        </is>
      </c>
    </row>
    <row r="16">
      <c r="A16" t="inlineStr">
        <is>
          <t>CRM</t>
        </is>
      </c>
      <c r="B16" t="inlineStr">
        <is>
          <t>L4</t>
        </is>
      </c>
      <c r="C16" t="inlineStr">
        <is>
          <t>isoc_eb_iipn2</t>
        </is>
      </c>
      <c r="D16" t="inlineStr">
        <is>
          <t>E_CRM1</t>
        </is>
      </c>
      <c r="E16" t="n">
        <v>2025</v>
      </c>
      <c r="F16" t="n">
        <v>2025</v>
      </c>
      <c r="G16" s="5" t="n">
        <v>22.4</v>
      </c>
      <c r="I16" s="5" t="n">
        <v>6.67</v>
      </c>
      <c r="J16" s="5" t="n">
        <v>23.56</v>
      </c>
      <c r="K16" s="5" t="n">
        <v>30.18</v>
      </c>
      <c r="L16" s="5" t="n">
        <v>15.17</v>
      </c>
      <c r="M16" s="5" t="n">
        <v>18.31</v>
      </c>
      <c r="N16" s="5" t="n">
        <v>11.41</v>
      </c>
      <c r="O16" s="5" t="n">
        <v>12.65</v>
      </c>
      <c r="P16" s="5" t="n">
        <v>27.11</v>
      </c>
      <c r="R16" s="5" t="n">
        <v>15.77</v>
      </c>
      <c r="S16" s="5" t="n">
        <v>8.550000000000001</v>
      </c>
      <c r="T16" s="5" t="n">
        <v>12.58</v>
      </c>
      <c r="U16" s="5" t="n">
        <v>17.33</v>
      </c>
      <c r="V16" s="5" t="n">
        <v>14.78</v>
      </c>
      <c r="W16" s="5" t="n">
        <v>26.04</v>
      </c>
      <c r="Y16" s="5" t="n">
        <v>13.14</v>
      </c>
      <c r="Z16" s="5" t="n">
        <v>26.29</v>
      </c>
      <c r="AA16" s="5" t="n">
        <v>31.25</v>
      </c>
      <c r="AB16" s="5" t="n">
        <v>21.14</v>
      </c>
      <c r="AC16" s="5" t="n">
        <v>16.85</v>
      </c>
      <c r="AD16" s="5" t="n">
        <v>8.779999999999999</v>
      </c>
      <c r="AE16" s="5" t="n">
        <v>18</v>
      </c>
      <c r="AF16" s="5" t="n">
        <v>11.61</v>
      </c>
      <c r="AG16" s="5" t="n">
        <v>13.71</v>
      </c>
      <c r="AH16" s="5" t="n">
        <v>17.99</v>
      </c>
      <c r="AI16" s="5" t="n">
        <v>6.9</v>
      </c>
      <c r="AJ16">
        <f>MAX(G16:AG16)</f>
        <v/>
      </c>
      <c r="AK16">
        <f>INDEX($G$3:$AG$3,MATCH(AJ16,G16:AG16,0))</f>
        <v/>
      </c>
      <c r="AL16">
        <f>MIN(G16:AG16)</f>
        <v/>
      </c>
      <c r="AM16" t="inlineStr">
        <is>
          <t>https://doi.org/10.2908/ISOC_EB_IIPN2</t>
        </is>
      </c>
      <c r="AN16" t="inlineStr">
        <is>
          <t>https://stat.gov.ua/uk/explorer?urn=SSSU%3ADF_INFORM_COMMUN_TECH_ENTRP%28~%29</t>
        </is>
      </c>
    </row>
    <row r="17">
      <c r="A17" t="inlineStr">
        <is>
          <t>EINVOICE_AUTOMATED</t>
        </is>
      </c>
      <c r="B17" t="inlineStr">
        <is>
          <t>DM_I</t>
        </is>
      </c>
      <c r="C17" t="inlineStr">
        <is>
          <t>isoc_eb_icsn2</t>
        </is>
      </c>
      <c r="D17" t="inlineStr">
        <is>
          <t>E_INV4S_AP</t>
        </is>
      </c>
      <c r="E17" t="n">
        <v>2023</v>
      </c>
      <c r="F17" t="n">
        <v>2025</v>
      </c>
      <c r="G17" s="5" t="n">
        <v>29.09</v>
      </c>
      <c r="I17" s="5" t="n">
        <v>19.93</v>
      </c>
      <c r="J17" s="5" t="n">
        <v>19.54</v>
      </c>
      <c r="K17" s="5" t="n">
        <v>35.18</v>
      </c>
      <c r="L17" s="5" t="n">
        <v>25.93</v>
      </c>
      <c r="M17" s="5" t="n">
        <v>59.51</v>
      </c>
      <c r="N17" s="5" t="n">
        <v>78.38</v>
      </c>
      <c r="O17" s="5" t="n">
        <v>17.63</v>
      </c>
      <c r="R17" s="5" t="n">
        <v>32.02</v>
      </c>
      <c r="S17" s="5" t="n">
        <v>55.17</v>
      </c>
      <c r="T17" s="5" t="n">
        <v>31.7</v>
      </c>
      <c r="U17" s="5" t="n">
        <v>55.41</v>
      </c>
      <c r="V17" s="5" t="n">
        <v>97.92</v>
      </c>
      <c r="W17" s="5" t="n">
        <v>43.99</v>
      </c>
      <c r="Y17" s="5" t="n">
        <v>38.2</v>
      </c>
      <c r="Z17" s="5" t="n">
        <v>24.71</v>
      </c>
      <c r="AA17" s="5" t="n">
        <v>41.55</v>
      </c>
      <c r="AB17" s="5" t="n">
        <v>16.13</v>
      </c>
      <c r="AC17" s="5" t="n">
        <v>27.08</v>
      </c>
      <c r="AD17" s="5" t="n">
        <v>43.09</v>
      </c>
      <c r="AE17" s="5" t="n">
        <v>62.26</v>
      </c>
      <c r="AF17" s="5" t="n">
        <v>60.58</v>
      </c>
      <c r="AG17" s="5" t="n">
        <v>37.93</v>
      </c>
      <c r="AH17" s="5" t="n">
        <v>41.5</v>
      </c>
      <c r="AI17" s="5" t="n">
        <v>37.8</v>
      </c>
      <c r="AJ17">
        <f>MAX(G17:AG17)</f>
        <v/>
      </c>
      <c r="AK17">
        <f>INDEX($G$3:$AG$3,MATCH(AJ17,G17:AG17,0))</f>
        <v/>
      </c>
      <c r="AL17">
        <f>MIN(G17:AG17)</f>
        <v/>
      </c>
      <c r="AM17" t="inlineStr">
        <is>
          <t>https://doi.org/10.2908/ISOC_EB_ICSN2</t>
        </is>
      </c>
      <c r="AN17" t="inlineStr">
        <is>
          <t>https://stat.gov.ua/uk/explorer?urn=SSSU%3ADF_INFORM_COMMUN_TECH_ENTRP%28~%29</t>
        </is>
      </c>
    </row>
    <row r="18">
      <c r="A18" t="inlineStr">
        <is>
          <t>BI</t>
        </is>
      </c>
      <c r="B18" t="inlineStr">
        <is>
          <t>DM_I</t>
        </is>
      </c>
      <c r="C18" t="inlineStr">
        <is>
          <t>isoc_eb_iipn2</t>
        </is>
      </c>
      <c r="D18" t="inlineStr">
        <is>
          <t>E_ITBI</t>
        </is>
      </c>
      <c r="E18" t="n">
        <v>2025</v>
      </c>
      <c r="F18" t="n">
        <v>2025</v>
      </c>
      <c r="G18" s="5" t="n">
        <v>14.79</v>
      </c>
      <c r="I18" s="5" t="n">
        <v>6.17</v>
      </c>
      <c r="J18" s="5" t="n">
        <v>23.24</v>
      </c>
      <c r="K18" s="5" t="n">
        <v>13.49</v>
      </c>
      <c r="L18" s="5" t="n">
        <v>11.64</v>
      </c>
      <c r="M18" s="5" t="n">
        <v>30.85</v>
      </c>
      <c r="N18" s="5" t="n">
        <v>18.33</v>
      </c>
      <c r="O18" s="5" t="n">
        <v>12.22</v>
      </c>
      <c r="P18" s="5" t="n">
        <v>21.96</v>
      </c>
      <c r="R18" s="5" t="n">
        <v>11.01</v>
      </c>
      <c r="S18" s="5" t="n">
        <v>7.58</v>
      </c>
      <c r="T18" s="5" t="n">
        <v>5.99</v>
      </c>
      <c r="U18" s="5" t="n">
        <v>27.85</v>
      </c>
      <c r="V18" s="5" t="n">
        <v>22.03</v>
      </c>
      <c r="W18" s="5" t="n">
        <v>30.71</v>
      </c>
      <c r="Y18" s="5" t="n">
        <v>17.96</v>
      </c>
      <c r="Z18" s="5" t="n">
        <v>19.22</v>
      </c>
      <c r="AA18" s="5" t="n">
        <v>34.8</v>
      </c>
      <c r="AB18" s="5" t="n">
        <v>9.960000000000001</v>
      </c>
      <c r="AC18" s="5" t="n">
        <v>8.380000000000001</v>
      </c>
      <c r="AD18" s="5" t="n">
        <v>5.93</v>
      </c>
      <c r="AE18" s="5" t="n">
        <v>20.5</v>
      </c>
      <c r="AF18" s="5" t="n">
        <v>17.22</v>
      </c>
      <c r="AG18" s="5" t="n">
        <v>5.1</v>
      </c>
      <c r="AH18" s="5" t="n">
        <v>15.22</v>
      </c>
      <c r="AI18" s="5" t="n">
        <v>6.6</v>
      </c>
      <c r="AJ18">
        <f>MAX(G18:AG18)</f>
        <v/>
      </c>
      <c r="AK18">
        <f>INDEX($G$3:$AG$3,MATCH(AJ18,G18:AG18,0))</f>
        <v/>
      </c>
      <c r="AL18">
        <f>MIN(G18:AG18)</f>
        <v/>
      </c>
      <c r="AM18" t="inlineStr">
        <is>
          <t>https://doi.org/10.2908/ISOC_EB_IIPN2</t>
        </is>
      </c>
      <c r="AN18" t="inlineStr">
        <is>
          <t>https://stat.gov.ua/uk/explorer?urn=SSSU%3ADF_INFORM_COMMUN_TECH_ENTRP%28~%29</t>
        </is>
      </c>
    </row>
    <row r="19">
      <c r="A19" t="inlineStr">
        <is>
          <t>AI_ANY</t>
        </is>
      </c>
      <c r="B19" t="inlineStr">
        <is>
          <t>DM_S</t>
        </is>
      </c>
      <c r="C19" t="inlineStr">
        <is>
          <t>isoc_eb_ain2</t>
        </is>
      </c>
      <c r="D19" t="inlineStr">
        <is>
          <t>E_AI_TANY</t>
        </is>
      </c>
      <c r="E19" t="n">
        <v>2025</v>
      </c>
      <c r="F19" t="n">
        <v>2025</v>
      </c>
      <c r="G19" s="5" t="n">
        <v>22.65</v>
      </c>
      <c r="I19" s="5" t="n">
        <v>4.72</v>
      </c>
      <c r="J19" s="5" t="n">
        <v>3.61</v>
      </c>
      <c r="K19" s="5" t="n">
        <v>10.78</v>
      </c>
      <c r="L19" s="5" t="n">
        <v>15.1</v>
      </c>
      <c r="M19" s="5" t="n">
        <v>26.48</v>
      </c>
      <c r="N19" s="5" t="n">
        <v>16.43</v>
      </c>
      <c r="O19" s="5" t="n">
        <v>3.84</v>
      </c>
      <c r="P19" s="5" t="n">
        <v>14.63</v>
      </c>
      <c r="R19" s="5" t="n">
        <v>10.75</v>
      </c>
      <c r="S19" s="5" t="n">
        <v>7.27</v>
      </c>
      <c r="T19" s="5" t="n">
        <v>6.05</v>
      </c>
      <c r="U19" s="5" t="n">
        <v>22.66</v>
      </c>
      <c r="V19" s="5" t="n">
        <v>15.32</v>
      </c>
      <c r="W19" s="5" t="n">
        <v>16.22</v>
      </c>
      <c r="Y19" s="5" t="n">
        <v>11.8</v>
      </c>
      <c r="Z19" s="5" t="n">
        <v>7.95</v>
      </c>
      <c r="AA19" s="5" t="n">
        <v>22.61</v>
      </c>
      <c r="AB19" s="5" t="n">
        <v>5.01</v>
      </c>
      <c r="AC19" s="5" t="n">
        <v>6.79</v>
      </c>
      <c r="AD19" s="5" t="n">
        <v>2.05</v>
      </c>
      <c r="AE19" s="5" t="n">
        <v>21.39</v>
      </c>
      <c r="AF19" s="5" t="n">
        <v>17.54</v>
      </c>
      <c r="AG19" s="5" t="n">
        <v>10.32</v>
      </c>
      <c r="AH19" s="5" t="n">
        <v>12.47</v>
      </c>
      <c r="AI19" s="5" t="n">
        <v>5</v>
      </c>
      <c r="AJ19">
        <f>MAX(G19:AG19)</f>
        <v/>
      </c>
      <c r="AK19">
        <f>INDEX($G$3:$AG$3,MATCH(AJ19,G19:AG19,0))</f>
        <v/>
      </c>
      <c r="AL19">
        <f>MIN(G19:AG19)</f>
        <v/>
      </c>
      <c r="AM19" t="inlineStr">
        <is>
          <t>https://doi.org/10.2908/ISOC_EB_AIN2</t>
        </is>
      </c>
      <c r="AN19" t="inlineStr">
        <is>
          <t>https://stat.gov.ua/uk/explorer?urn=SSSU%3ADF_INFORM_COMMUN_TECH_ENTRP%28~%29</t>
        </is>
      </c>
    </row>
    <row r="20">
      <c r="A20" t="inlineStr">
        <is>
          <t>DII_BASIC_V3</t>
        </is>
      </c>
      <c r="B20" t="inlineStr">
        <is>
          <t>DM_S</t>
        </is>
      </c>
      <c r="C20" t="inlineStr">
        <is>
          <t>isoc_e_diin2</t>
        </is>
      </c>
      <c r="D20" t="inlineStr">
        <is>
          <t>E_DI3_GELO</t>
        </is>
      </c>
      <c r="E20" t="n">
        <v>2025</v>
      </c>
      <c r="F20" t="n">
        <v>2025</v>
      </c>
      <c r="G20" s="5" t="n">
        <v>63.77</v>
      </c>
      <c r="I20" s="5" t="n">
        <v>28.38</v>
      </c>
      <c r="J20" s="5" t="n">
        <v>71.73999999999999</v>
      </c>
      <c r="K20" s="5" t="n">
        <v>66.15000000000001</v>
      </c>
      <c r="L20" s="5" t="n">
        <v>62.56</v>
      </c>
      <c r="M20" s="5" t="n">
        <v>91.19</v>
      </c>
      <c r="N20" s="5" t="n">
        <v>71.48</v>
      </c>
      <c r="O20" s="5" t="n">
        <v>56.24</v>
      </c>
      <c r="P20" s="5" t="n">
        <v>73.06999999999999</v>
      </c>
      <c r="Q20" s="5" t="n">
        <v>96.43000000000001</v>
      </c>
      <c r="R20" s="5" t="n">
        <v>49.63</v>
      </c>
      <c r="S20" s="5" t="n">
        <v>35.65</v>
      </c>
      <c r="T20" s="5" t="n">
        <v>50.96</v>
      </c>
      <c r="U20" s="5" t="n">
        <v>78.91</v>
      </c>
      <c r="V20" s="5" t="n">
        <v>73.41</v>
      </c>
      <c r="W20" s="5" t="n">
        <v>79.84999999999999</v>
      </c>
      <c r="Y20" s="5" t="n">
        <v>64.05</v>
      </c>
      <c r="Z20" s="5" t="n">
        <v>71.06999999999999</v>
      </c>
      <c r="AA20" s="5" t="n">
        <v>91.18000000000001</v>
      </c>
      <c r="AB20" s="5" t="n">
        <v>49.72</v>
      </c>
      <c r="AD20" s="5" t="n">
        <v>34.71</v>
      </c>
      <c r="AE20" s="5" t="n">
        <v>81.20999999999999</v>
      </c>
      <c r="AF20" s="5" t="n">
        <v>49.24</v>
      </c>
      <c r="AG20" s="5" t="n">
        <v>53.3</v>
      </c>
      <c r="AH20" s="5" t="n">
        <v>60.91</v>
      </c>
      <c r="AI20" s="5" t="n">
        <v>27.8</v>
      </c>
      <c r="AJ20">
        <f>MAX(G20:AG20)</f>
        <v/>
      </c>
      <c r="AK20">
        <f>INDEX($G$3:$AG$3,MATCH(AJ20,G20:AG20,0))</f>
        <v/>
      </c>
      <c r="AL20">
        <f>MIN(G20:AG20)</f>
        <v/>
      </c>
      <c r="AM20" t="inlineStr">
        <is>
          <t>https://doi.org/10.2908/ISOC_E_DIIN2</t>
        </is>
      </c>
      <c r="AN20" t="inlineStr">
        <is>
          <t>https://stat.gov.ua/uk/explorer?urn=SSSU%3ADF_INFORM_COMMUN_TECH_ENTRP%28~%29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F15"/>
  <sheetViews>
    <sheetView workbookViewId="0">
      <selection activeCell="A1" sqref="A1"/>
    </sheetView>
  </sheetViews>
  <sheetFormatPr baseColWidth="8" defaultRowHeight="15"/>
  <sheetData>
    <row r="1">
      <c r="A1" s="1" t="inlineStr">
        <is>
          <t>Statistics mode: DM = P / P_leader, layers, ADMI, levels, ranks</t>
        </is>
      </c>
    </row>
    <row r="3">
      <c r="A3" s="3" t="inlineStr">
        <is>
          <t>Unit</t>
        </is>
      </c>
      <c r="B3" s="3" t="inlineStr">
        <is>
          <t>ERP</t>
        </is>
      </c>
      <c r="C3" s="3" t="inlineStr">
        <is>
          <t>IOT_PRODUCTION</t>
        </is>
      </c>
      <c r="D3" s="3" t="inlineStr">
        <is>
          <t>ICT_SECURITY_DOCUMENT</t>
        </is>
      </c>
      <c r="E3" s="3" t="inlineStr">
        <is>
          <t>ICT_TRAINING_ICT_SPECIALISTS</t>
        </is>
      </c>
      <c r="F3" s="3" t="inlineStr">
        <is>
          <t>ICT_TRAINING_OTHER_EMPLOYEES</t>
        </is>
      </c>
      <c r="G3" s="3" t="inlineStr">
        <is>
          <t>SUPPLY_CHAIN_DATA_EXCHANGE</t>
        </is>
      </c>
      <c r="H3" s="3" t="inlineStr">
        <is>
          <t>DATA_ANALYTICS</t>
        </is>
      </c>
      <c r="I3" s="3" t="inlineStr">
        <is>
          <t>IOT_ANY</t>
        </is>
      </c>
      <c r="J3" s="3" t="inlineStr">
        <is>
          <t>MOBILE_INTERNET</t>
        </is>
      </c>
      <c r="K3" s="3" t="inlineStr">
        <is>
          <t>PAID_CLOUD</t>
        </is>
      </c>
      <c r="L3" s="3" t="inlineStr">
        <is>
          <t>ECOMMERCE_SALES</t>
        </is>
      </c>
      <c r="M3" s="3" t="inlineStr">
        <is>
          <t>WEBSITE</t>
        </is>
      </c>
      <c r="N3" s="3" t="inlineStr">
        <is>
          <t>CRM</t>
        </is>
      </c>
      <c r="O3" s="3" t="inlineStr">
        <is>
          <t>EINVOICE_AUTOMATED</t>
        </is>
      </c>
      <c r="P3" s="3" t="inlineStr">
        <is>
          <t>BI</t>
        </is>
      </c>
      <c r="Q3" s="3" t="inlineStr">
        <is>
          <t>AI_ANY</t>
        </is>
      </c>
      <c r="R3" s="3" t="inlineStr">
        <is>
          <t>DII_BASIC_V3</t>
        </is>
      </c>
      <c r="S3" s="3" t="inlineStr">
        <is>
          <t>C</t>
        </is>
      </c>
      <c r="T3" s="3" t="inlineStr">
        <is>
          <t>L1</t>
        </is>
      </c>
      <c r="U3" s="3" t="inlineStr">
        <is>
          <t>L2</t>
        </is>
      </c>
      <c r="V3" s="3" t="inlineStr">
        <is>
          <t>L3</t>
        </is>
      </c>
      <c r="W3" s="3" t="inlineStr">
        <is>
          <t>L4</t>
        </is>
      </c>
      <c r="X3" s="3" t="inlineStr">
        <is>
          <t>DM_I</t>
        </is>
      </c>
      <c r="Y3" s="3" t="inlineStr">
        <is>
          <t>DM_S</t>
        </is>
      </c>
      <c r="Z3" s="3" t="inlineStr">
        <is>
          <t>ADMI_base</t>
        </is>
      </c>
      <c r="AA3" s="3" t="inlineStr">
        <is>
          <t>DM_min</t>
        </is>
      </c>
      <c r="AB3" s="3" t="inlineStr">
        <is>
          <t>Weakest layer</t>
        </is>
      </c>
      <c r="AC3" s="3" t="inlineStr">
        <is>
          <t>Penalty</t>
        </is>
      </c>
      <c r="AD3" s="3" t="inlineStr">
        <is>
          <t>ADMI</t>
        </is>
      </c>
      <c r="AE3" s="3" t="inlineStr">
        <is>
          <t>Level</t>
        </is>
      </c>
      <c r="AF3" s="3" t="inlineStr">
        <is>
          <t>Rank (9 CEE + UA)</t>
        </is>
      </c>
    </row>
    <row r="4">
      <c r="A4" t="inlineStr">
        <is>
          <t>EU27_2020</t>
        </is>
      </c>
      <c r="B4">
        <f>IF(Processing_data!$AH$4="","",Processing_data!$AH$4/Processing_data!$AJ$4)</f>
        <v/>
      </c>
      <c r="C4">
        <f>IF(Processing_data!$AH$5="","",Processing_data!$AH$5/Processing_data!$AJ$5)</f>
        <v/>
      </c>
      <c r="D4">
        <f>IF(Processing_data!$AH$6="","",Processing_data!$AH$6/Processing_data!$AJ$6)</f>
        <v/>
      </c>
      <c r="E4">
        <f>IF(Processing_data!$AH$7="","",Processing_data!$AH$7/Processing_data!$AJ$7)</f>
        <v/>
      </c>
      <c r="F4">
        <f>IF(Processing_data!$AH$8="","",Processing_data!$AH$8/Processing_data!$AJ$8)</f>
        <v/>
      </c>
      <c r="G4">
        <f>IF(Processing_data!$AH$9="","",Processing_data!$AH$9/Processing_data!$AJ$9)</f>
        <v/>
      </c>
      <c r="H4">
        <f>IF(Processing_data!$AH$10="","",Processing_data!$AH$10/Processing_data!$AJ$10)</f>
        <v/>
      </c>
      <c r="I4">
        <f>IF(Processing_data!$AH$11="","",Processing_data!$AH$11/Processing_data!$AJ$11)</f>
        <v/>
      </c>
      <c r="J4">
        <f>IF(Processing_data!$AH$12="","",Processing_data!$AH$12/Processing_data!$AJ$12)</f>
        <v/>
      </c>
      <c r="K4">
        <f>IF(Processing_data!$AH$13="","",Processing_data!$AH$13/Processing_data!$AJ$13)</f>
        <v/>
      </c>
      <c r="L4">
        <f>IF(Processing_data!$AH$14="","",Processing_data!$AH$14/Processing_data!$AJ$14)</f>
        <v/>
      </c>
      <c r="M4">
        <f>IF(Processing_data!$AH$15="","",Processing_data!$AH$15/Processing_data!$AJ$15)</f>
        <v/>
      </c>
      <c r="N4">
        <f>IF(Processing_data!$AH$16="","",Processing_data!$AH$16/Processing_data!$AJ$16)</f>
        <v/>
      </c>
      <c r="O4">
        <f>IF(Processing_data!$AH$17="","",Processing_data!$AH$17/Processing_data!$AJ$17)</f>
        <v/>
      </c>
      <c r="P4">
        <f>IF(Processing_data!$AH$18="","",Processing_data!$AH$18/Processing_data!$AJ$18)</f>
        <v/>
      </c>
      <c r="Q4">
        <f>IF(Processing_data!$AH$19="","",Processing_data!$AH$19/Processing_data!$AJ$19)</f>
        <v/>
      </c>
      <c r="R4">
        <f>IF(Processing_data!$AH$20="","",Processing_data!$AH$20/Processing_data!$AJ$20)</f>
        <v/>
      </c>
      <c r="S4">
        <f>AVERAGE(B4:D4)</f>
        <v/>
      </c>
      <c r="T4">
        <f>AVERAGE(E4:F4)</f>
        <v/>
      </c>
      <c r="U4">
        <f>AVERAGE(G4:I4)</f>
        <v/>
      </c>
      <c r="V4">
        <f>AVERAGE(J4:K4)</f>
        <v/>
      </c>
      <c r="W4">
        <f>AVERAGE(L4:N4)</f>
        <v/>
      </c>
      <c r="X4">
        <f>AVERAGE(O4:P4)</f>
        <v/>
      </c>
      <c r="Y4">
        <f>AVERAGE(Q4:R4)</f>
        <v/>
      </c>
      <c r="Z4">
        <f>AVERAGE(S4:W4)</f>
        <v/>
      </c>
      <c r="AA4">
        <f>MIN(S4:W4)</f>
        <v/>
      </c>
      <c r="AB4">
        <f>INDEX($S$3:$W$3,MATCH(AA4,S4:W4,0))</f>
        <v/>
      </c>
      <c r="AC4">
        <f>1-alpha*MAX(0,delta-AA4)</f>
        <v/>
      </c>
      <c r="AD4">
        <f>Z4*AC4</f>
        <v/>
      </c>
      <c r="AE4">
        <f>1+COUNTIF(bounds,"&lt;"&amp;ROUND(AD4,12))</f>
        <v/>
      </c>
    </row>
    <row r="5">
      <c r="A5" t="inlineStr">
        <is>
          <t>DE</t>
        </is>
      </c>
      <c r="B5">
        <f>IF(Processing_data!$L$4="","",Processing_data!$L$4/Processing_data!$AJ$4)</f>
        <v/>
      </c>
      <c r="C5">
        <f>IF(Processing_data!$L$5="","",Processing_data!$L$5/Processing_data!$AJ$5)</f>
        <v/>
      </c>
      <c r="D5">
        <f>IF(Processing_data!$L$6="","",Processing_data!$L$6/Processing_data!$AJ$6)</f>
        <v/>
      </c>
      <c r="E5">
        <f>IF(Processing_data!$L$7="","",Processing_data!$L$7/Processing_data!$AJ$7)</f>
        <v/>
      </c>
      <c r="F5">
        <f>IF(Processing_data!$L$8="","",Processing_data!$L$8/Processing_data!$AJ$8)</f>
        <v/>
      </c>
      <c r="G5">
        <f>IF(Processing_data!$L$9="","",Processing_data!$L$9/Processing_data!$AJ$9)</f>
        <v/>
      </c>
      <c r="H5">
        <f>IF(Processing_data!$L$10="","",Processing_data!$L$10/Processing_data!$AJ$10)</f>
        <v/>
      </c>
      <c r="I5">
        <f>IF(Processing_data!$L$11="","",Processing_data!$L$11/Processing_data!$AJ$11)</f>
        <v/>
      </c>
      <c r="J5">
        <f>IF(Processing_data!$L$12="","",Processing_data!$L$12/Processing_data!$AJ$12)</f>
        <v/>
      </c>
      <c r="K5">
        <f>IF(Processing_data!$L$13="","",Processing_data!$L$13/Processing_data!$AJ$13)</f>
        <v/>
      </c>
      <c r="L5">
        <f>IF(Processing_data!$L$14="","",Processing_data!$L$14/Processing_data!$AJ$14)</f>
        <v/>
      </c>
      <c r="M5">
        <f>IF(Processing_data!$L$15="","",Processing_data!$L$15/Processing_data!$AJ$15)</f>
        <v/>
      </c>
      <c r="N5">
        <f>IF(Processing_data!$L$16="","",Processing_data!$L$16/Processing_data!$AJ$16)</f>
        <v/>
      </c>
      <c r="O5">
        <f>IF(Processing_data!$L$17="","",Processing_data!$L$17/Processing_data!$AJ$17)</f>
        <v/>
      </c>
      <c r="P5">
        <f>IF(Processing_data!$L$18="","",Processing_data!$L$18/Processing_data!$AJ$18)</f>
        <v/>
      </c>
      <c r="Q5">
        <f>IF(Processing_data!$L$19="","",Processing_data!$L$19/Processing_data!$AJ$19)</f>
        <v/>
      </c>
      <c r="R5">
        <f>IF(Processing_data!$L$20="","",Processing_data!$L$20/Processing_data!$AJ$20)</f>
        <v/>
      </c>
      <c r="S5">
        <f>AVERAGE(B5:D5)</f>
        <v/>
      </c>
      <c r="T5">
        <f>AVERAGE(E5:F5)</f>
        <v/>
      </c>
      <c r="U5">
        <f>AVERAGE(G5:I5)</f>
        <v/>
      </c>
      <c r="V5">
        <f>AVERAGE(J5:K5)</f>
        <v/>
      </c>
      <c r="W5">
        <f>AVERAGE(L5:N5)</f>
        <v/>
      </c>
      <c r="X5">
        <f>AVERAGE(O5:P5)</f>
        <v/>
      </c>
      <c r="Y5">
        <f>AVERAGE(Q5:R5)</f>
        <v/>
      </c>
      <c r="Z5">
        <f>AVERAGE(S5:W5)</f>
        <v/>
      </c>
      <c r="AA5">
        <f>MIN(S5:W5)</f>
        <v/>
      </c>
      <c r="AB5">
        <f>INDEX($S$3:$W$3,MATCH(AA5,S5:W5,0))</f>
        <v/>
      </c>
      <c r="AC5">
        <f>1-alpha*MAX(0,delta-AA5)</f>
        <v/>
      </c>
      <c r="AD5">
        <f>Z5*AC5</f>
        <v/>
      </c>
      <c r="AE5">
        <f>1+COUNTIF(bounds,"&lt;"&amp;ROUND(AD5,12))</f>
        <v/>
      </c>
    </row>
    <row r="6">
      <c r="A6" t="inlineStr">
        <is>
          <t>PL</t>
        </is>
      </c>
      <c r="B6">
        <f>IF(Processing_data!$AB$4="","",Processing_data!$AB$4/Processing_data!$AJ$4)</f>
        <v/>
      </c>
      <c r="C6">
        <f>IF(Processing_data!$AB$5="","",Processing_data!$AB$5/Processing_data!$AJ$5)</f>
        <v/>
      </c>
      <c r="D6">
        <f>IF(Processing_data!$AB$6="","",Processing_data!$AB$6/Processing_data!$AJ$6)</f>
        <v/>
      </c>
      <c r="E6">
        <f>IF(Processing_data!$AB$7="","",Processing_data!$AB$7/Processing_data!$AJ$7)</f>
        <v/>
      </c>
      <c r="F6">
        <f>IF(Processing_data!$AB$8="","",Processing_data!$AB$8/Processing_data!$AJ$8)</f>
        <v/>
      </c>
      <c r="G6">
        <f>IF(Processing_data!$AB$9="","",Processing_data!$AB$9/Processing_data!$AJ$9)</f>
        <v/>
      </c>
      <c r="H6">
        <f>IF(Processing_data!$AB$10="","",Processing_data!$AB$10/Processing_data!$AJ$10)</f>
        <v/>
      </c>
      <c r="I6">
        <f>IF(Processing_data!$AB$11="","",Processing_data!$AB$11/Processing_data!$AJ$11)</f>
        <v/>
      </c>
      <c r="J6">
        <f>IF(Processing_data!$AB$12="","",Processing_data!$AB$12/Processing_data!$AJ$12)</f>
        <v/>
      </c>
      <c r="K6">
        <f>IF(Processing_data!$AB$13="","",Processing_data!$AB$13/Processing_data!$AJ$13)</f>
        <v/>
      </c>
      <c r="L6">
        <f>IF(Processing_data!$AB$14="","",Processing_data!$AB$14/Processing_data!$AJ$14)</f>
        <v/>
      </c>
      <c r="M6">
        <f>IF(Processing_data!$AB$15="","",Processing_data!$AB$15/Processing_data!$AJ$15)</f>
        <v/>
      </c>
      <c r="N6">
        <f>IF(Processing_data!$AB$16="","",Processing_data!$AB$16/Processing_data!$AJ$16)</f>
        <v/>
      </c>
      <c r="O6">
        <f>IF(Processing_data!$AB$17="","",Processing_data!$AB$17/Processing_data!$AJ$17)</f>
        <v/>
      </c>
      <c r="P6">
        <f>IF(Processing_data!$AB$18="","",Processing_data!$AB$18/Processing_data!$AJ$18)</f>
        <v/>
      </c>
      <c r="Q6">
        <f>IF(Processing_data!$AB$19="","",Processing_data!$AB$19/Processing_data!$AJ$19)</f>
        <v/>
      </c>
      <c r="R6">
        <f>IF(Processing_data!$AB$20="","",Processing_data!$AB$20/Processing_data!$AJ$20)</f>
        <v/>
      </c>
      <c r="S6">
        <f>AVERAGE(B6:D6)</f>
        <v/>
      </c>
      <c r="T6">
        <f>AVERAGE(E6:F6)</f>
        <v/>
      </c>
      <c r="U6">
        <f>AVERAGE(G6:I6)</f>
        <v/>
      </c>
      <c r="V6">
        <f>AVERAGE(J6:K6)</f>
        <v/>
      </c>
      <c r="W6">
        <f>AVERAGE(L6:N6)</f>
        <v/>
      </c>
      <c r="X6">
        <f>AVERAGE(O6:P6)</f>
        <v/>
      </c>
      <c r="Y6">
        <f>AVERAGE(Q6:R6)</f>
        <v/>
      </c>
      <c r="Z6">
        <f>AVERAGE(S6:W6)</f>
        <v/>
      </c>
      <c r="AA6">
        <f>MIN(S6:W6)</f>
        <v/>
      </c>
      <c r="AB6">
        <f>INDEX($S$3:$W$3,MATCH(AA6,S6:W6,0))</f>
        <v/>
      </c>
      <c r="AC6">
        <f>1-alpha*MAX(0,delta-AA6)</f>
        <v/>
      </c>
      <c r="AD6">
        <f>Z6*AC6</f>
        <v/>
      </c>
      <c r="AE6">
        <f>1+COUNTIF(bounds,"&lt;"&amp;ROUND(AD6,12))</f>
        <v/>
      </c>
      <c r="AF6">
        <f>1+COUNTIF($AD$6:$AD$15,"&gt;"&amp;AD6)</f>
        <v/>
      </c>
    </row>
    <row r="7">
      <c r="A7" t="inlineStr">
        <is>
          <t>HU</t>
        </is>
      </c>
      <c r="B7">
        <f>IF(Processing_data!$T$4="","",Processing_data!$T$4/Processing_data!$AJ$4)</f>
        <v/>
      </c>
      <c r="C7">
        <f>IF(Processing_data!$T$5="","",Processing_data!$T$5/Processing_data!$AJ$5)</f>
        <v/>
      </c>
      <c r="D7">
        <f>IF(Processing_data!$T$6="","",Processing_data!$T$6/Processing_data!$AJ$6)</f>
        <v/>
      </c>
      <c r="E7">
        <f>IF(Processing_data!$T$7="","",Processing_data!$T$7/Processing_data!$AJ$7)</f>
        <v/>
      </c>
      <c r="F7">
        <f>IF(Processing_data!$T$8="","",Processing_data!$T$8/Processing_data!$AJ$8)</f>
        <v/>
      </c>
      <c r="G7">
        <f>IF(Processing_data!$T$9="","",Processing_data!$T$9/Processing_data!$AJ$9)</f>
        <v/>
      </c>
      <c r="H7">
        <f>IF(Processing_data!$T$10="","",Processing_data!$T$10/Processing_data!$AJ$10)</f>
        <v/>
      </c>
      <c r="I7">
        <f>IF(Processing_data!$T$11="","",Processing_data!$T$11/Processing_data!$AJ$11)</f>
        <v/>
      </c>
      <c r="J7">
        <f>IF(Processing_data!$T$12="","",Processing_data!$T$12/Processing_data!$AJ$12)</f>
        <v/>
      </c>
      <c r="K7">
        <f>IF(Processing_data!$T$13="","",Processing_data!$T$13/Processing_data!$AJ$13)</f>
        <v/>
      </c>
      <c r="L7">
        <f>IF(Processing_data!$T$14="","",Processing_data!$T$14/Processing_data!$AJ$14)</f>
        <v/>
      </c>
      <c r="M7">
        <f>IF(Processing_data!$T$15="","",Processing_data!$T$15/Processing_data!$AJ$15)</f>
        <v/>
      </c>
      <c r="N7">
        <f>IF(Processing_data!$T$16="","",Processing_data!$T$16/Processing_data!$AJ$16)</f>
        <v/>
      </c>
      <c r="O7">
        <f>IF(Processing_data!$T$17="","",Processing_data!$T$17/Processing_data!$AJ$17)</f>
        <v/>
      </c>
      <c r="P7">
        <f>IF(Processing_data!$T$18="","",Processing_data!$T$18/Processing_data!$AJ$18)</f>
        <v/>
      </c>
      <c r="Q7">
        <f>IF(Processing_data!$T$19="","",Processing_data!$T$19/Processing_data!$AJ$19)</f>
        <v/>
      </c>
      <c r="R7">
        <f>IF(Processing_data!$T$20="","",Processing_data!$T$20/Processing_data!$AJ$20)</f>
        <v/>
      </c>
      <c r="S7">
        <f>AVERAGE(B7:D7)</f>
        <v/>
      </c>
      <c r="T7">
        <f>AVERAGE(E7:F7)</f>
        <v/>
      </c>
      <c r="U7">
        <f>AVERAGE(G7:I7)</f>
        <v/>
      </c>
      <c r="V7">
        <f>AVERAGE(J7:K7)</f>
        <v/>
      </c>
      <c r="W7">
        <f>AVERAGE(L7:N7)</f>
        <v/>
      </c>
      <c r="X7">
        <f>AVERAGE(O7:P7)</f>
        <v/>
      </c>
      <c r="Y7">
        <f>AVERAGE(Q7:R7)</f>
        <v/>
      </c>
      <c r="Z7">
        <f>AVERAGE(S7:W7)</f>
        <v/>
      </c>
      <c r="AA7">
        <f>MIN(S7:W7)</f>
        <v/>
      </c>
      <c r="AB7">
        <f>INDEX($S$3:$W$3,MATCH(AA7,S7:W7,0))</f>
        <v/>
      </c>
      <c r="AC7">
        <f>1-alpha*MAX(0,delta-AA7)</f>
        <v/>
      </c>
      <c r="AD7">
        <f>Z7*AC7</f>
        <v/>
      </c>
      <c r="AE7">
        <f>1+COUNTIF(bounds,"&lt;"&amp;ROUND(AD7,12))</f>
        <v/>
      </c>
      <c r="AF7">
        <f>1+COUNTIF($AD$6:$AD$15,"&gt;"&amp;AD7)</f>
        <v/>
      </c>
    </row>
    <row r="8">
      <c r="A8" t="inlineStr">
        <is>
          <t>RO</t>
        </is>
      </c>
      <c r="B8">
        <f>IF(Processing_data!$AD$4="","",Processing_data!$AD$4/Processing_data!$AJ$4)</f>
        <v/>
      </c>
      <c r="C8">
        <f>IF(Processing_data!$AD$5="","",Processing_data!$AD$5/Processing_data!$AJ$5)</f>
        <v/>
      </c>
      <c r="D8">
        <f>IF(Processing_data!$AD$6="","",Processing_data!$AD$6/Processing_data!$AJ$6)</f>
        <v/>
      </c>
      <c r="E8">
        <f>IF(Processing_data!$AD$7="","",Processing_data!$AD$7/Processing_data!$AJ$7)</f>
        <v/>
      </c>
      <c r="F8">
        <f>IF(Processing_data!$AD$8="","",Processing_data!$AD$8/Processing_data!$AJ$8)</f>
        <v/>
      </c>
      <c r="G8">
        <f>IF(Processing_data!$AD$9="","",Processing_data!$AD$9/Processing_data!$AJ$9)</f>
        <v/>
      </c>
      <c r="H8">
        <f>IF(Processing_data!$AD$10="","",Processing_data!$AD$10/Processing_data!$AJ$10)</f>
        <v/>
      </c>
      <c r="I8">
        <f>IF(Processing_data!$AD$11="","",Processing_data!$AD$11/Processing_data!$AJ$11)</f>
        <v/>
      </c>
      <c r="J8">
        <f>IF(Processing_data!$AD$12="","",Processing_data!$AD$12/Processing_data!$AJ$12)</f>
        <v/>
      </c>
      <c r="K8">
        <f>IF(Processing_data!$AD$13="","",Processing_data!$AD$13/Processing_data!$AJ$13)</f>
        <v/>
      </c>
      <c r="L8">
        <f>IF(Processing_data!$AD$14="","",Processing_data!$AD$14/Processing_data!$AJ$14)</f>
        <v/>
      </c>
      <c r="M8">
        <f>IF(Processing_data!$AD$15="","",Processing_data!$AD$15/Processing_data!$AJ$15)</f>
        <v/>
      </c>
      <c r="N8">
        <f>IF(Processing_data!$AD$16="","",Processing_data!$AD$16/Processing_data!$AJ$16)</f>
        <v/>
      </c>
      <c r="O8">
        <f>IF(Processing_data!$AD$17="","",Processing_data!$AD$17/Processing_data!$AJ$17)</f>
        <v/>
      </c>
      <c r="P8">
        <f>IF(Processing_data!$AD$18="","",Processing_data!$AD$18/Processing_data!$AJ$18)</f>
        <v/>
      </c>
      <c r="Q8">
        <f>IF(Processing_data!$AD$19="","",Processing_data!$AD$19/Processing_data!$AJ$19)</f>
        <v/>
      </c>
      <c r="R8">
        <f>IF(Processing_data!$AD$20="","",Processing_data!$AD$20/Processing_data!$AJ$20)</f>
        <v/>
      </c>
      <c r="S8">
        <f>AVERAGE(B8:D8)</f>
        <v/>
      </c>
      <c r="T8">
        <f>AVERAGE(E8:F8)</f>
        <v/>
      </c>
      <c r="U8">
        <f>AVERAGE(G8:I8)</f>
        <v/>
      </c>
      <c r="V8">
        <f>AVERAGE(J8:K8)</f>
        <v/>
      </c>
      <c r="W8">
        <f>AVERAGE(L8:N8)</f>
        <v/>
      </c>
      <c r="X8">
        <f>AVERAGE(O8:P8)</f>
        <v/>
      </c>
      <c r="Y8">
        <f>AVERAGE(Q8:R8)</f>
        <v/>
      </c>
      <c r="Z8">
        <f>AVERAGE(S8:W8)</f>
        <v/>
      </c>
      <c r="AA8">
        <f>MIN(S8:W8)</f>
        <v/>
      </c>
      <c r="AB8">
        <f>INDEX($S$3:$W$3,MATCH(AA8,S8:W8,0))</f>
        <v/>
      </c>
      <c r="AC8">
        <f>1-alpha*MAX(0,delta-AA8)</f>
        <v/>
      </c>
      <c r="AD8">
        <f>Z8*AC8</f>
        <v/>
      </c>
      <c r="AE8">
        <f>1+COUNTIF(bounds,"&lt;"&amp;ROUND(AD8,12))</f>
        <v/>
      </c>
      <c r="AF8">
        <f>1+COUNTIF($AD$6:$AD$15,"&gt;"&amp;AD8)</f>
        <v/>
      </c>
    </row>
    <row r="9">
      <c r="A9" t="inlineStr">
        <is>
          <t>CZ</t>
        </is>
      </c>
      <c r="B9">
        <f>IF(Processing_data!$K$4="","",Processing_data!$K$4/Processing_data!$AJ$4)</f>
        <v/>
      </c>
      <c r="C9">
        <f>IF(Processing_data!$K$5="","",Processing_data!$K$5/Processing_data!$AJ$5)</f>
        <v/>
      </c>
      <c r="D9">
        <f>IF(Processing_data!$K$6="","",Processing_data!$K$6/Processing_data!$AJ$6)</f>
        <v/>
      </c>
      <c r="E9">
        <f>IF(Processing_data!$K$7="","",Processing_data!$K$7/Processing_data!$AJ$7)</f>
        <v/>
      </c>
      <c r="F9">
        <f>IF(Processing_data!$K$8="","",Processing_data!$K$8/Processing_data!$AJ$8)</f>
        <v/>
      </c>
      <c r="G9">
        <f>IF(Processing_data!$K$9="","",Processing_data!$K$9/Processing_data!$AJ$9)</f>
        <v/>
      </c>
      <c r="H9">
        <f>IF(Processing_data!$K$10="","",Processing_data!$K$10/Processing_data!$AJ$10)</f>
        <v/>
      </c>
      <c r="I9">
        <f>IF(Processing_data!$K$11="","",Processing_data!$K$11/Processing_data!$AJ$11)</f>
        <v/>
      </c>
      <c r="J9">
        <f>IF(Processing_data!$K$12="","",Processing_data!$K$12/Processing_data!$AJ$12)</f>
        <v/>
      </c>
      <c r="K9">
        <f>IF(Processing_data!$K$13="","",Processing_data!$K$13/Processing_data!$AJ$13)</f>
        <v/>
      </c>
      <c r="L9">
        <f>IF(Processing_data!$K$14="","",Processing_data!$K$14/Processing_data!$AJ$14)</f>
        <v/>
      </c>
      <c r="M9">
        <f>IF(Processing_data!$K$15="","",Processing_data!$K$15/Processing_data!$AJ$15)</f>
        <v/>
      </c>
      <c r="N9">
        <f>IF(Processing_data!$K$16="","",Processing_data!$K$16/Processing_data!$AJ$16)</f>
        <v/>
      </c>
      <c r="O9">
        <f>IF(Processing_data!$K$17="","",Processing_data!$K$17/Processing_data!$AJ$17)</f>
        <v/>
      </c>
      <c r="P9">
        <f>IF(Processing_data!$K$18="","",Processing_data!$K$18/Processing_data!$AJ$18)</f>
        <v/>
      </c>
      <c r="Q9">
        <f>IF(Processing_data!$K$19="","",Processing_data!$K$19/Processing_data!$AJ$19)</f>
        <v/>
      </c>
      <c r="R9">
        <f>IF(Processing_data!$K$20="","",Processing_data!$K$20/Processing_data!$AJ$20)</f>
        <v/>
      </c>
      <c r="S9">
        <f>AVERAGE(B9:D9)</f>
        <v/>
      </c>
      <c r="T9">
        <f>AVERAGE(E9:F9)</f>
        <v/>
      </c>
      <c r="U9">
        <f>AVERAGE(G9:I9)</f>
        <v/>
      </c>
      <c r="V9">
        <f>AVERAGE(J9:K9)</f>
        <v/>
      </c>
      <c r="W9">
        <f>AVERAGE(L9:N9)</f>
        <v/>
      </c>
      <c r="X9">
        <f>AVERAGE(O9:P9)</f>
        <v/>
      </c>
      <c r="Y9">
        <f>AVERAGE(Q9:R9)</f>
        <v/>
      </c>
      <c r="Z9">
        <f>AVERAGE(S9:W9)</f>
        <v/>
      </c>
      <c r="AA9">
        <f>MIN(S9:W9)</f>
        <v/>
      </c>
      <c r="AB9">
        <f>INDEX($S$3:$W$3,MATCH(AA9,S9:W9,0))</f>
        <v/>
      </c>
      <c r="AC9">
        <f>1-alpha*MAX(0,delta-AA9)</f>
        <v/>
      </c>
      <c r="AD9">
        <f>Z9*AC9</f>
        <v/>
      </c>
      <c r="AE9">
        <f>1+COUNTIF(bounds,"&lt;"&amp;ROUND(AD9,12))</f>
        <v/>
      </c>
      <c r="AF9">
        <f>1+COUNTIF($AD$6:$AD$15,"&gt;"&amp;AD9)</f>
        <v/>
      </c>
    </row>
    <row r="10">
      <c r="A10" t="inlineStr">
        <is>
          <t>SK</t>
        </is>
      </c>
      <c r="B10">
        <f>IF(Processing_data!$AG$4="","",Processing_data!$AG$4/Processing_data!$AJ$4)</f>
        <v/>
      </c>
      <c r="C10">
        <f>IF(Processing_data!$AG$5="","",Processing_data!$AG$5/Processing_data!$AJ$5)</f>
        <v/>
      </c>
      <c r="D10">
        <f>IF(Processing_data!$AG$6="","",Processing_data!$AG$6/Processing_data!$AJ$6)</f>
        <v/>
      </c>
      <c r="E10">
        <f>IF(Processing_data!$AG$7="","",Processing_data!$AG$7/Processing_data!$AJ$7)</f>
        <v/>
      </c>
      <c r="F10">
        <f>IF(Processing_data!$AG$8="","",Processing_data!$AG$8/Processing_data!$AJ$8)</f>
        <v/>
      </c>
      <c r="G10">
        <f>IF(Processing_data!$AG$9="","",Processing_data!$AG$9/Processing_data!$AJ$9)</f>
        <v/>
      </c>
      <c r="H10">
        <f>IF(Processing_data!$AG$10="","",Processing_data!$AG$10/Processing_data!$AJ$10)</f>
        <v/>
      </c>
      <c r="I10">
        <f>IF(Processing_data!$AG$11="","",Processing_data!$AG$11/Processing_data!$AJ$11)</f>
        <v/>
      </c>
      <c r="J10">
        <f>IF(Processing_data!$AG$12="","",Processing_data!$AG$12/Processing_data!$AJ$12)</f>
        <v/>
      </c>
      <c r="K10">
        <f>IF(Processing_data!$AG$13="","",Processing_data!$AG$13/Processing_data!$AJ$13)</f>
        <v/>
      </c>
      <c r="L10">
        <f>IF(Processing_data!$AG$14="","",Processing_data!$AG$14/Processing_data!$AJ$14)</f>
        <v/>
      </c>
      <c r="M10">
        <f>IF(Processing_data!$AG$15="","",Processing_data!$AG$15/Processing_data!$AJ$15)</f>
        <v/>
      </c>
      <c r="N10">
        <f>IF(Processing_data!$AG$16="","",Processing_data!$AG$16/Processing_data!$AJ$16)</f>
        <v/>
      </c>
      <c r="O10">
        <f>IF(Processing_data!$AG$17="","",Processing_data!$AG$17/Processing_data!$AJ$17)</f>
        <v/>
      </c>
      <c r="P10">
        <f>IF(Processing_data!$AG$18="","",Processing_data!$AG$18/Processing_data!$AJ$18)</f>
        <v/>
      </c>
      <c r="Q10">
        <f>IF(Processing_data!$AG$19="","",Processing_data!$AG$19/Processing_data!$AJ$19)</f>
        <v/>
      </c>
      <c r="R10">
        <f>IF(Processing_data!$AG$20="","",Processing_data!$AG$20/Processing_data!$AJ$20)</f>
        <v/>
      </c>
      <c r="S10">
        <f>AVERAGE(B10:D10)</f>
        <v/>
      </c>
      <c r="T10">
        <f>AVERAGE(E10:F10)</f>
        <v/>
      </c>
      <c r="U10">
        <f>AVERAGE(G10:I10)</f>
        <v/>
      </c>
      <c r="V10">
        <f>AVERAGE(J10:K10)</f>
        <v/>
      </c>
      <c r="W10">
        <f>AVERAGE(L10:N10)</f>
        <v/>
      </c>
      <c r="X10">
        <f>AVERAGE(O10:P10)</f>
        <v/>
      </c>
      <c r="Y10">
        <f>AVERAGE(Q10:R10)</f>
        <v/>
      </c>
      <c r="Z10">
        <f>AVERAGE(S10:W10)</f>
        <v/>
      </c>
      <c r="AA10">
        <f>MIN(S10:W10)</f>
        <v/>
      </c>
      <c r="AB10">
        <f>INDEX($S$3:$W$3,MATCH(AA10,S10:W10,0))</f>
        <v/>
      </c>
      <c r="AC10">
        <f>1-alpha*MAX(0,delta-AA10)</f>
        <v/>
      </c>
      <c r="AD10">
        <f>Z10*AC10</f>
        <v/>
      </c>
      <c r="AE10">
        <f>1+COUNTIF(bounds,"&lt;"&amp;ROUND(AD10,12))</f>
        <v/>
      </c>
      <c r="AF10">
        <f>1+COUNTIF($AD$6:$AD$15,"&gt;"&amp;AD10)</f>
        <v/>
      </c>
    </row>
    <row r="11">
      <c r="A11" t="inlineStr">
        <is>
          <t>LT</t>
        </is>
      </c>
      <c r="B11">
        <f>IF(Processing_data!$W$4="","",Processing_data!$W$4/Processing_data!$AJ$4)</f>
        <v/>
      </c>
      <c r="C11">
        <f>IF(Processing_data!$W$5="","",Processing_data!$W$5/Processing_data!$AJ$5)</f>
        <v/>
      </c>
      <c r="D11">
        <f>IF(Processing_data!$W$6="","",Processing_data!$W$6/Processing_data!$AJ$6)</f>
        <v/>
      </c>
      <c r="E11">
        <f>IF(Processing_data!$W$7="","",Processing_data!$W$7/Processing_data!$AJ$7)</f>
        <v/>
      </c>
      <c r="F11">
        <f>IF(Processing_data!$W$8="","",Processing_data!$W$8/Processing_data!$AJ$8)</f>
        <v/>
      </c>
      <c r="G11">
        <f>IF(Processing_data!$W$9="","",Processing_data!$W$9/Processing_data!$AJ$9)</f>
        <v/>
      </c>
      <c r="H11">
        <f>IF(Processing_data!$W$10="","",Processing_data!$W$10/Processing_data!$AJ$10)</f>
        <v/>
      </c>
      <c r="I11">
        <f>IF(Processing_data!$W$11="","",Processing_data!$W$11/Processing_data!$AJ$11)</f>
        <v/>
      </c>
      <c r="J11">
        <f>IF(Processing_data!$W$12="","",Processing_data!$W$12/Processing_data!$AJ$12)</f>
        <v/>
      </c>
      <c r="K11">
        <f>IF(Processing_data!$W$13="","",Processing_data!$W$13/Processing_data!$AJ$13)</f>
        <v/>
      </c>
      <c r="L11">
        <f>IF(Processing_data!$W$14="","",Processing_data!$W$14/Processing_data!$AJ$14)</f>
        <v/>
      </c>
      <c r="M11">
        <f>IF(Processing_data!$W$15="","",Processing_data!$W$15/Processing_data!$AJ$15)</f>
        <v/>
      </c>
      <c r="N11">
        <f>IF(Processing_data!$W$16="","",Processing_data!$W$16/Processing_data!$AJ$16)</f>
        <v/>
      </c>
      <c r="O11">
        <f>IF(Processing_data!$W$17="","",Processing_data!$W$17/Processing_data!$AJ$17)</f>
        <v/>
      </c>
      <c r="P11">
        <f>IF(Processing_data!$W$18="","",Processing_data!$W$18/Processing_data!$AJ$18)</f>
        <v/>
      </c>
      <c r="Q11">
        <f>IF(Processing_data!$W$19="","",Processing_data!$W$19/Processing_data!$AJ$19)</f>
        <v/>
      </c>
      <c r="R11">
        <f>IF(Processing_data!$W$20="","",Processing_data!$W$20/Processing_data!$AJ$20)</f>
        <v/>
      </c>
      <c r="S11">
        <f>AVERAGE(B11:D11)</f>
        <v/>
      </c>
      <c r="T11">
        <f>AVERAGE(E11:F11)</f>
        <v/>
      </c>
      <c r="U11">
        <f>AVERAGE(G11:I11)</f>
        <v/>
      </c>
      <c r="V11">
        <f>AVERAGE(J11:K11)</f>
        <v/>
      </c>
      <c r="W11">
        <f>AVERAGE(L11:N11)</f>
        <v/>
      </c>
      <c r="X11">
        <f>AVERAGE(O11:P11)</f>
        <v/>
      </c>
      <c r="Y11">
        <f>AVERAGE(Q11:R11)</f>
        <v/>
      </c>
      <c r="Z11">
        <f>AVERAGE(S11:W11)</f>
        <v/>
      </c>
      <c r="AA11">
        <f>MIN(S11:W11)</f>
        <v/>
      </c>
      <c r="AB11">
        <f>INDEX($S$3:$W$3,MATCH(AA11,S11:W11,0))</f>
        <v/>
      </c>
      <c r="AC11">
        <f>1-alpha*MAX(0,delta-AA11)</f>
        <v/>
      </c>
      <c r="AD11">
        <f>Z11*AC11</f>
        <v/>
      </c>
      <c r="AE11">
        <f>1+COUNTIF(bounds,"&lt;"&amp;ROUND(AD11,12))</f>
        <v/>
      </c>
      <c r="AF11">
        <f>1+COUNTIF($AD$6:$AD$15,"&gt;"&amp;AD11)</f>
        <v/>
      </c>
    </row>
    <row r="12">
      <c r="A12" t="inlineStr">
        <is>
          <t>LV</t>
        </is>
      </c>
      <c r="B12">
        <f>IF(Processing_data!$Y$4="","",Processing_data!$Y$4/Processing_data!$AJ$4)</f>
        <v/>
      </c>
      <c r="C12">
        <f>IF(Processing_data!$Y$5="","",Processing_data!$Y$5/Processing_data!$AJ$5)</f>
        <v/>
      </c>
      <c r="D12">
        <f>IF(Processing_data!$Y$6="","",Processing_data!$Y$6/Processing_data!$AJ$6)</f>
        <v/>
      </c>
      <c r="E12">
        <f>IF(Processing_data!$Y$7="","",Processing_data!$Y$7/Processing_data!$AJ$7)</f>
        <v/>
      </c>
      <c r="F12">
        <f>IF(Processing_data!$Y$8="","",Processing_data!$Y$8/Processing_data!$AJ$8)</f>
        <v/>
      </c>
      <c r="G12">
        <f>IF(Processing_data!$Y$9="","",Processing_data!$Y$9/Processing_data!$AJ$9)</f>
        <v/>
      </c>
      <c r="H12">
        <f>IF(Processing_data!$Y$10="","",Processing_data!$Y$10/Processing_data!$AJ$10)</f>
        <v/>
      </c>
      <c r="I12">
        <f>IF(Processing_data!$Y$11="","",Processing_data!$Y$11/Processing_data!$AJ$11)</f>
        <v/>
      </c>
      <c r="J12">
        <f>IF(Processing_data!$Y$12="","",Processing_data!$Y$12/Processing_data!$AJ$12)</f>
        <v/>
      </c>
      <c r="K12">
        <f>IF(Processing_data!$Y$13="","",Processing_data!$Y$13/Processing_data!$AJ$13)</f>
        <v/>
      </c>
      <c r="L12">
        <f>IF(Processing_data!$Y$14="","",Processing_data!$Y$14/Processing_data!$AJ$14)</f>
        <v/>
      </c>
      <c r="M12">
        <f>IF(Processing_data!$Y$15="","",Processing_data!$Y$15/Processing_data!$AJ$15)</f>
        <v/>
      </c>
      <c r="N12">
        <f>IF(Processing_data!$Y$16="","",Processing_data!$Y$16/Processing_data!$AJ$16)</f>
        <v/>
      </c>
      <c r="O12">
        <f>IF(Processing_data!$Y$17="","",Processing_data!$Y$17/Processing_data!$AJ$17)</f>
        <v/>
      </c>
      <c r="P12">
        <f>IF(Processing_data!$Y$18="","",Processing_data!$Y$18/Processing_data!$AJ$18)</f>
        <v/>
      </c>
      <c r="Q12">
        <f>IF(Processing_data!$Y$19="","",Processing_data!$Y$19/Processing_data!$AJ$19)</f>
        <v/>
      </c>
      <c r="R12">
        <f>IF(Processing_data!$Y$20="","",Processing_data!$Y$20/Processing_data!$AJ$20)</f>
        <v/>
      </c>
      <c r="S12">
        <f>AVERAGE(B12:D12)</f>
        <v/>
      </c>
      <c r="T12">
        <f>AVERAGE(E12:F12)</f>
        <v/>
      </c>
      <c r="U12">
        <f>AVERAGE(G12:I12)</f>
        <v/>
      </c>
      <c r="V12">
        <f>AVERAGE(J12:K12)</f>
        <v/>
      </c>
      <c r="W12">
        <f>AVERAGE(L12:N12)</f>
        <v/>
      </c>
      <c r="X12">
        <f>AVERAGE(O12:P12)</f>
        <v/>
      </c>
      <c r="Y12">
        <f>AVERAGE(Q12:R12)</f>
        <v/>
      </c>
      <c r="Z12">
        <f>AVERAGE(S12:W12)</f>
        <v/>
      </c>
      <c r="AA12">
        <f>MIN(S12:W12)</f>
        <v/>
      </c>
      <c r="AB12">
        <f>INDEX($S$3:$W$3,MATCH(AA12,S12:W12,0))</f>
        <v/>
      </c>
      <c r="AC12">
        <f>1-alpha*MAX(0,delta-AA12)</f>
        <v/>
      </c>
      <c r="AD12">
        <f>Z12*AC12</f>
        <v/>
      </c>
      <c r="AE12">
        <f>1+COUNTIF(bounds,"&lt;"&amp;ROUND(AD12,12))</f>
        <v/>
      </c>
      <c r="AF12">
        <f>1+COUNTIF($AD$6:$AD$15,"&gt;"&amp;AD12)</f>
        <v/>
      </c>
    </row>
    <row r="13">
      <c r="A13" t="inlineStr">
        <is>
          <t>EE</t>
        </is>
      </c>
      <c r="B13">
        <f>IF(Processing_data!$N$4="","",Processing_data!$N$4/Processing_data!$AJ$4)</f>
        <v/>
      </c>
      <c r="C13">
        <f>IF(Processing_data!$N$5="","",Processing_data!$N$5/Processing_data!$AJ$5)</f>
        <v/>
      </c>
      <c r="D13">
        <f>IF(Processing_data!$N$6="","",Processing_data!$N$6/Processing_data!$AJ$6)</f>
        <v/>
      </c>
      <c r="E13">
        <f>IF(Processing_data!$N$7="","",Processing_data!$N$7/Processing_data!$AJ$7)</f>
        <v/>
      </c>
      <c r="F13">
        <f>IF(Processing_data!$N$8="","",Processing_data!$N$8/Processing_data!$AJ$8)</f>
        <v/>
      </c>
      <c r="G13">
        <f>IF(Processing_data!$N$9="","",Processing_data!$N$9/Processing_data!$AJ$9)</f>
        <v/>
      </c>
      <c r="H13">
        <f>IF(Processing_data!$N$10="","",Processing_data!$N$10/Processing_data!$AJ$10)</f>
        <v/>
      </c>
      <c r="I13">
        <f>IF(Processing_data!$N$11="","",Processing_data!$N$11/Processing_data!$AJ$11)</f>
        <v/>
      </c>
      <c r="J13">
        <f>IF(Processing_data!$N$12="","",Processing_data!$N$12/Processing_data!$AJ$12)</f>
        <v/>
      </c>
      <c r="K13">
        <f>IF(Processing_data!$N$13="","",Processing_data!$N$13/Processing_data!$AJ$13)</f>
        <v/>
      </c>
      <c r="L13">
        <f>IF(Processing_data!$N$14="","",Processing_data!$N$14/Processing_data!$AJ$14)</f>
        <v/>
      </c>
      <c r="M13">
        <f>IF(Processing_data!$N$15="","",Processing_data!$N$15/Processing_data!$AJ$15)</f>
        <v/>
      </c>
      <c r="N13">
        <f>IF(Processing_data!$N$16="","",Processing_data!$N$16/Processing_data!$AJ$16)</f>
        <v/>
      </c>
      <c r="O13">
        <f>IF(Processing_data!$N$17="","",Processing_data!$N$17/Processing_data!$AJ$17)</f>
        <v/>
      </c>
      <c r="P13">
        <f>IF(Processing_data!$N$18="","",Processing_data!$N$18/Processing_data!$AJ$18)</f>
        <v/>
      </c>
      <c r="Q13">
        <f>IF(Processing_data!$N$19="","",Processing_data!$N$19/Processing_data!$AJ$19)</f>
        <v/>
      </c>
      <c r="R13">
        <f>IF(Processing_data!$N$20="","",Processing_data!$N$20/Processing_data!$AJ$20)</f>
        <v/>
      </c>
      <c r="S13">
        <f>AVERAGE(B13:D13)</f>
        <v/>
      </c>
      <c r="T13">
        <f>AVERAGE(E13:F13)</f>
        <v/>
      </c>
      <c r="U13">
        <f>AVERAGE(G13:I13)</f>
        <v/>
      </c>
      <c r="V13">
        <f>AVERAGE(J13:K13)</f>
        <v/>
      </c>
      <c r="W13">
        <f>AVERAGE(L13:N13)</f>
        <v/>
      </c>
      <c r="X13">
        <f>AVERAGE(O13:P13)</f>
        <v/>
      </c>
      <c r="Y13">
        <f>AVERAGE(Q13:R13)</f>
        <v/>
      </c>
      <c r="Z13">
        <f>AVERAGE(S13:W13)</f>
        <v/>
      </c>
      <c r="AA13">
        <f>MIN(S13:W13)</f>
        <v/>
      </c>
      <c r="AB13">
        <f>INDEX($S$3:$W$3,MATCH(AA13,S13:W13,0))</f>
        <v/>
      </c>
      <c r="AC13">
        <f>1-alpha*MAX(0,delta-AA13)</f>
        <v/>
      </c>
      <c r="AD13">
        <f>Z13*AC13</f>
        <v/>
      </c>
      <c r="AE13">
        <f>1+COUNTIF(bounds,"&lt;"&amp;ROUND(AD13,12))</f>
        <v/>
      </c>
      <c r="AF13">
        <f>1+COUNTIF($AD$6:$AD$15,"&gt;"&amp;AD13)</f>
        <v/>
      </c>
    </row>
    <row r="14">
      <c r="A14" t="inlineStr">
        <is>
          <t>BG</t>
        </is>
      </c>
      <c r="B14">
        <f>IF(Processing_data!$I$4="","",Processing_data!$I$4/Processing_data!$AJ$4)</f>
        <v/>
      </c>
      <c r="C14">
        <f>IF(Processing_data!$I$5="","",Processing_data!$I$5/Processing_data!$AJ$5)</f>
        <v/>
      </c>
      <c r="D14">
        <f>IF(Processing_data!$I$6="","",Processing_data!$I$6/Processing_data!$AJ$6)</f>
        <v/>
      </c>
      <c r="E14">
        <f>IF(Processing_data!$I$7="","",Processing_data!$I$7/Processing_data!$AJ$7)</f>
        <v/>
      </c>
      <c r="F14">
        <f>IF(Processing_data!$I$8="","",Processing_data!$I$8/Processing_data!$AJ$8)</f>
        <v/>
      </c>
      <c r="G14">
        <f>IF(Processing_data!$I$9="","",Processing_data!$I$9/Processing_data!$AJ$9)</f>
        <v/>
      </c>
      <c r="H14">
        <f>IF(Processing_data!$I$10="","",Processing_data!$I$10/Processing_data!$AJ$10)</f>
        <v/>
      </c>
      <c r="I14">
        <f>IF(Processing_data!$I$11="","",Processing_data!$I$11/Processing_data!$AJ$11)</f>
        <v/>
      </c>
      <c r="J14">
        <f>IF(Processing_data!$I$12="","",Processing_data!$I$12/Processing_data!$AJ$12)</f>
        <v/>
      </c>
      <c r="K14">
        <f>IF(Processing_data!$I$13="","",Processing_data!$I$13/Processing_data!$AJ$13)</f>
        <v/>
      </c>
      <c r="L14">
        <f>IF(Processing_data!$I$14="","",Processing_data!$I$14/Processing_data!$AJ$14)</f>
        <v/>
      </c>
      <c r="M14">
        <f>IF(Processing_data!$I$15="","",Processing_data!$I$15/Processing_data!$AJ$15)</f>
        <v/>
      </c>
      <c r="N14">
        <f>IF(Processing_data!$I$16="","",Processing_data!$I$16/Processing_data!$AJ$16)</f>
        <v/>
      </c>
      <c r="O14">
        <f>IF(Processing_data!$I$17="","",Processing_data!$I$17/Processing_data!$AJ$17)</f>
        <v/>
      </c>
      <c r="P14">
        <f>IF(Processing_data!$I$18="","",Processing_data!$I$18/Processing_data!$AJ$18)</f>
        <v/>
      </c>
      <c r="Q14">
        <f>IF(Processing_data!$I$19="","",Processing_data!$I$19/Processing_data!$AJ$19)</f>
        <v/>
      </c>
      <c r="R14">
        <f>IF(Processing_data!$I$20="","",Processing_data!$I$20/Processing_data!$AJ$20)</f>
        <v/>
      </c>
      <c r="S14">
        <f>AVERAGE(B14:D14)</f>
        <v/>
      </c>
      <c r="T14">
        <f>AVERAGE(E14:F14)</f>
        <v/>
      </c>
      <c r="U14">
        <f>AVERAGE(G14:I14)</f>
        <v/>
      </c>
      <c r="V14">
        <f>AVERAGE(J14:K14)</f>
        <v/>
      </c>
      <c r="W14">
        <f>AVERAGE(L14:N14)</f>
        <v/>
      </c>
      <c r="X14">
        <f>AVERAGE(O14:P14)</f>
        <v/>
      </c>
      <c r="Y14">
        <f>AVERAGE(Q14:R14)</f>
        <v/>
      </c>
      <c r="Z14">
        <f>AVERAGE(S14:W14)</f>
        <v/>
      </c>
      <c r="AA14">
        <f>MIN(S14:W14)</f>
        <v/>
      </c>
      <c r="AB14">
        <f>INDEX($S$3:$W$3,MATCH(AA14,S14:W14,0))</f>
        <v/>
      </c>
      <c r="AC14">
        <f>1-alpha*MAX(0,delta-AA14)</f>
        <v/>
      </c>
      <c r="AD14">
        <f>Z14*AC14</f>
        <v/>
      </c>
      <c r="AE14">
        <f>1+COUNTIF(bounds,"&lt;"&amp;ROUND(AD14,12))</f>
        <v/>
      </c>
      <c r="AF14">
        <f>1+COUNTIF($AD$6:$AD$15,"&gt;"&amp;AD14)</f>
        <v/>
      </c>
    </row>
    <row r="15">
      <c r="A15" t="inlineStr">
        <is>
          <t>UA</t>
        </is>
      </c>
      <c r="B15">
        <f>IF(Processing_data!$AI$4="","",Processing_data!$AI$4/Processing_data!$AJ$4)</f>
        <v/>
      </c>
      <c r="C15">
        <f>IF(Processing_data!$AI$5="","",Processing_data!$AI$5/Processing_data!$AJ$5)</f>
        <v/>
      </c>
      <c r="D15">
        <f>IF(Processing_data!$AI$6="","",Processing_data!$AI$6/Processing_data!$AJ$6)</f>
        <v/>
      </c>
      <c r="E15">
        <f>IF(Processing_data!$AI$7="","",Processing_data!$AI$7/Processing_data!$AJ$7)</f>
        <v/>
      </c>
      <c r="F15">
        <f>IF(Processing_data!$AI$8="","",Processing_data!$AI$8/Processing_data!$AJ$8)</f>
        <v/>
      </c>
      <c r="G15">
        <f>IF(Processing_data!$AI$9="","",Processing_data!$AI$9/Processing_data!$AJ$9)</f>
        <v/>
      </c>
      <c r="H15">
        <f>IF(Processing_data!$AI$10="","",Processing_data!$AI$10/Processing_data!$AJ$10)</f>
        <v/>
      </c>
      <c r="I15">
        <f>IF(Processing_data!$AI$11="","",Processing_data!$AI$11/Processing_data!$AJ$11)</f>
        <v/>
      </c>
      <c r="J15">
        <f>IF(Processing_data!$AI$12="","",Processing_data!$AI$12/Processing_data!$AJ$12)</f>
        <v/>
      </c>
      <c r="K15">
        <f>IF(Processing_data!$AI$13="","",Processing_data!$AI$13/Processing_data!$AJ$13)</f>
        <v/>
      </c>
      <c r="L15">
        <f>IF(Processing_data!$AI$14="","",Processing_data!$AI$14/Processing_data!$AJ$14)</f>
        <v/>
      </c>
      <c r="M15">
        <f>IF(Processing_data!$AI$15="","",Processing_data!$AI$15/Processing_data!$AJ$15)</f>
        <v/>
      </c>
      <c r="N15">
        <f>IF(Processing_data!$AI$16="","",Processing_data!$AI$16/Processing_data!$AJ$16)</f>
        <v/>
      </c>
      <c r="O15">
        <f>IF(Processing_data!$AI$17="","",Processing_data!$AI$17/Processing_data!$AJ$17)</f>
        <v/>
      </c>
      <c r="P15">
        <f>IF(Processing_data!$AI$18="","",Processing_data!$AI$18/Processing_data!$AJ$18)</f>
        <v/>
      </c>
      <c r="Q15">
        <f>IF(Processing_data!$AI$19="","",Processing_data!$AI$19/Processing_data!$AJ$19)</f>
        <v/>
      </c>
      <c r="R15">
        <f>IF(Processing_data!$AI$20="","",Processing_data!$AI$20/Processing_data!$AJ$20)</f>
        <v/>
      </c>
      <c r="S15">
        <f>AVERAGE(B15:D15)</f>
        <v/>
      </c>
      <c r="T15">
        <f>AVERAGE(E15:F15)</f>
        <v/>
      </c>
      <c r="U15">
        <f>AVERAGE(G15:I15)</f>
        <v/>
      </c>
      <c r="V15">
        <f>AVERAGE(J15:K15)</f>
        <v/>
      </c>
      <c r="W15">
        <f>AVERAGE(L15:N15)</f>
        <v/>
      </c>
      <c r="X15">
        <f>AVERAGE(O15:P15)</f>
        <v/>
      </c>
      <c r="Y15">
        <f>AVERAGE(Q15:R15)</f>
        <v/>
      </c>
      <c r="Z15">
        <f>AVERAGE(S15:W15)</f>
        <v/>
      </c>
      <c r="AA15">
        <f>MIN(S15:W15)</f>
        <v/>
      </c>
      <c r="AB15">
        <f>INDEX($S$3:$W$3,MATCH(AA15,S15:W15,0))</f>
        <v/>
      </c>
      <c r="AC15">
        <f>1-alpha*MAX(0,delta-AA15)</f>
        <v/>
      </c>
      <c r="AD15">
        <f>Z15*AC15</f>
        <v/>
      </c>
      <c r="AE15">
        <f>1+COUNTIF(bounds,"&lt;"&amp;ROUND(AD15,12))</f>
        <v/>
      </c>
      <c r="AF15">
        <f>1+COUNTIF($AD$6:$AD$15,"&gt;"&amp;AD15)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cols>
    <col width="44" customWidth="1" min="1" max="1"/>
  </cols>
  <sheetData>
    <row r="1">
      <c r="A1" s="1" t="inlineStr">
        <is>
          <t>TOPSIS on the five layers (Hwang and Yoon, 1981): entropy weights and equal weights</t>
        </is>
      </c>
    </row>
    <row r="3">
      <c r="A3" s="3" t="inlineStr">
        <is>
          <t>Unit</t>
        </is>
      </c>
      <c r="B3" s="3" t="inlineStr">
        <is>
          <t>C</t>
        </is>
      </c>
      <c r="C3" s="3" t="inlineStr">
        <is>
          <t>L1</t>
        </is>
      </c>
      <c r="D3" s="3" t="inlineStr">
        <is>
          <t>L2</t>
        </is>
      </c>
      <c r="E3" s="3" t="inlineStr">
        <is>
          <t>L3</t>
        </is>
      </c>
      <c r="F3" s="3" t="inlineStr">
        <is>
          <t>L4</t>
        </is>
      </c>
      <c r="G3" s="3" t="inlineStr">
        <is>
          <t>ADMI</t>
        </is>
      </c>
    </row>
    <row r="4">
      <c r="A4" t="inlineStr">
        <is>
          <t>PL</t>
        </is>
      </c>
      <c r="B4">
        <f>Processing_index!$S$6</f>
        <v/>
      </c>
      <c r="C4">
        <f>Processing_index!$T$6</f>
        <v/>
      </c>
      <c r="D4">
        <f>Processing_index!$U$6</f>
        <v/>
      </c>
      <c r="E4">
        <f>Processing_index!$V$6</f>
        <v/>
      </c>
      <c r="F4">
        <f>Processing_index!$W$6</f>
        <v/>
      </c>
      <c r="G4">
        <f>Processing_index!$AD$6</f>
        <v/>
      </c>
    </row>
    <row r="5">
      <c r="A5" t="inlineStr">
        <is>
          <t>HU</t>
        </is>
      </c>
      <c r="B5">
        <f>Processing_index!$S$7</f>
        <v/>
      </c>
      <c r="C5">
        <f>Processing_index!$T$7</f>
        <v/>
      </c>
      <c r="D5">
        <f>Processing_index!$U$7</f>
        <v/>
      </c>
      <c r="E5">
        <f>Processing_index!$V$7</f>
        <v/>
      </c>
      <c r="F5">
        <f>Processing_index!$W$7</f>
        <v/>
      </c>
      <c r="G5">
        <f>Processing_index!$AD$7</f>
        <v/>
      </c>
    </row>
    <row r="6">
      <c r="A6" t="inlineStr">
        <is>
          <t>RO</t>
        </is>
      </c>
      <c r="B6">
        <f>Processing_index!$S$8</f>
        <v/>
      </c>
      <c r="C6">
        <f>Processing_index!$T$8</f>
        <v/>
      </c>
      <c r="D6">
        <f>Processing_index!$U$8</f>
        <v/>
      </c>
      <c r="E6">
        <f>Processing_index!$V$8</f>
        <v/>
      </c>
      <c r="F6">
        <f>Processing_index!$W$8</f>
        <v/>
      </c>
      <c r="G6">
        <f>Processing_index!$AD$8</f>
        <v/>
      </c>
    </row>
    <row r="7">
      <c r="A7" t="inlineStr">
        <is>
          <t>CZ</t>
        </is>
      </c>
      <c r="B7">
        <f>Processing_index!$S$9</f>
        <v/>
      </c>
      <c r="C7">
        <f>Processing_index!$T$9</f>
        <v/>
      </c>
      <c r="D7">
        <f>Processing_index!$U$9</f>
        <v/>
      </c>
      <c r="E7">
        <f>Processing_index!$V$9</f>
        <v/>
      </c>
      <c r="F7">
        <f>Processing_index!$W$9</f>
        <v/>
      </c>
      <c r="G7">
        <f>Processing_index!$AD$9</f>
        <v/>
      </c>
    </row>
    <row r="8">
      <c r="A8" t="inlineStr">
        <is>
          <t>SK</t>
        </is>
      </c>
      <c r="B8">
        <f>Processing_index!$S$10</f>
        <v/>
      </c>
      <c r="C8">
        <f>Processing_index!$T$10</f>
        <v/>
      </c>
      <c r="D8">
        <f>Processing_index!$U$10</f>
        <v/>
      </c>
      <c r="E8">
        <f>Processing_index!$V$10</f>
        <v/>
      </c>
      <c r="F8">
        <f>Processing_index!$W$10</f>
        <v/>
      </c>
      <c r="G8">
        <f>Processing_index!$AD$10</f>
        <v/>
      </c>
    </row>
    <row r="9">
      <c r="A9" t="inlineStr">
        <is>
          <t>LT</t>
        </is>
      </c>
      <c r="B9">
        <f>Processing_index!$S$11</f>
        <v/>
      </c>
      <c r="C9">
        <f>Processing_index!$T$11</f>
        <v/>
      </c>
      <c r="D9">
        <f>Processing_index!$U$11</f>
        <v/>
      </c>
      <c r="E9">
        <f>Processing_index!$V$11</f>
        <v/>
      </c>
      <c r="F9">
        <f>Processing_index!$W$11</f>
        <v/>
      </c>
      <c r="G9">
        <f>Processing_index!$AD$11</f>
        <v/>
      </c>
    </row>
    <row r="10">
      <c r="A10" t="inlineStr">
        <is>
          <t>LV</t>
        </is>
      </c>
      <c r="B10">
        <f>Processing_index!$S$12</f>
        <v/>
      </c>
      <c r="C10">
        <f>Processing_index!$T$12</f>
        <v/>
      </c>
      <c r="D10">
        <f>Processing_index!$U$12</f>
        <v/>
      </c>
      <c r="E10">
        <f>Processing_index!$V$12</f>
        <v/>
      </c>
      <c r="F10">
        <f>Processing_index!$W$12</f>
        <v/>
      </c>
      <c r="G10">
        <f>Processing_index!$AD$12</f>
        <v/>
      </c>
    </row>
    <row r="11">
      <c r="A11" t="inlineStr">
        <is>
          <t>EE</t>
        </is>
      </c>
      <c r="B11">
        <f>Processing_index!$S$13</f>
        <v/>
      </c>
      <c r="C11">
        <f>Processing_index!$T$13</f>
        <v/>
      </c>
      <c r="D11">
        <f>Processing_index!$U$13</f>
        <v/>
      </c>
      <c r="E11">
        <f>Processing_index!$V$13</f>
        <v/>
      </c>
      <c r="F11">
        <f>Processing_index!$W$13</f>
        <v/>
      </c>
      <c r="G11">
        <f>Processing_index!$AD$13</f>
        <v/>
      </c>
    </row>
    <row r="12">
      <c r="A12" t="inlineStr">
        <is>
          <t>BG</t>
        </is>
      </c>
      <c r="B12">
        <f>Processing_index!$S$14</f>
        <v/>
      </c>
      <c r="C12">
        <f>Processing_index!$T$14</f>
        <v/>
      </c>
      <c r="D12">
        <f>Processing_index!$U$14</f>
        <v/>
      </c>
      <c r="E12">
        <f>Processing_index!$V$14</f>
        <v/>
      </c>
      <c r="F12">
        <f>Processing_index!$W$14</f>
        <v/>
      </c>
      <c r="G12">
        <f>Processing_index!$AD$14</f>
        <v/>
      </c>
    </row>
    <row r="13">
      <c r="A13" t="inlineStr">
        <is>
          <t>UA</t>
        </is>
      </c>
      <c r="B13">
        <f>Processing_index!$S$15</f>
        <v/>
      </c>
      <c r="C13">
        <f>Processing_index!$T$15</f>
        <v/>
      </c>
      <c r="D13">
        <f>Processing_index!$U$15</f>
        <v/>
      </c>
      <c r="E13">
        <f>Processing_index!$V$15</f>
        <v/>
      </c>
      <c r="F13">
        <f>Processing_index!$W$15</f>
        <v/>
      </c>
      <c r="G13">
        <f>Processing_index!$AD$15</f>
        <v/>
      </c>
    </row>
    <row r="15">
      <c r="A15" s="3" t="inlineStr">
        <is>
          <t>Vector norm</t>
        </is>
      </c>
      <c r="B15">
        <f>SQRT(SUMPRODUCT(B4:B13,B4:B13))</f>
        <v/>
      </c>
      <c r="C15">
        <f>SQRT(SUMPRODUCT(C4:C13,C4:C13))</f>
        <v/>
      </c>
      <c r="D15">
        <f>SQRT(SUMPRODUCT(D4:D13,D4:D13))</f>
        <v/>
      </c>
      <c r="E15">
        <f>SQRT(SUMPRODUCT(E4:E13,E4:E13))</f>
        <v/>
      </c>
      <c r="F15">
        <f>SQRT(SUMPRODUCT(F4:F13,F4:F13))</f>
        <v/>
      </c>
    </row>
    <row r="16">
      <c r="A16" s="3" t="inlineStr">
        <is>
          <t>Entropy</t>
        </is>
      </c>
      <c r="B16">
        <f>-SUMPRODUCT(B4:B13/SUM(B4:B13)*LN(B4:B13/SUM(B4:B13)))/LN(10)</f>
        <v/>
      </c>
      <c r="C16">
        <f>-SUMPRODUCT(C4:C13/SUM(C4:C13)*LN(C4:C13/SUM(C4:C13)))/LN(10)</f>
        <v/>
      </c>
      <c r="D16">
        <f>-SUMPRODUCT(D4:D13/SUM(D4:D13)*LN(D4:D13/SUM(D4:D13)))/LN(10)</f>
        <v/>
      </c>
      <c r="E16">
        <f>-SUMPRODUCT(E4:E13/SUM(E4:E13)*LN(E4:E13/SUM(E4:E13)))/LN(10)</f>
        <v/>
      </c>
      <c r="F16">
        <f>-SUMPRODUCT(F4:F13/SUM(F4:F13)*LN(F4:F13/SUM(F4:F13)))/LN(10)</f>
        <v/>
      </c>
    </row>
    <row r="17">
      <c r="A17" s="3" t="inlineStr">
        <is>
          <t>1 - entropy</t>
        </is>
      </c>
      <c r="B17">
        <f>1-B16</f>
        <v/>
      </c>
      <c r="C17">
        <f>1-C16</f>
        <v/>
      </c>
      <c r="D17">
        <f>1-D16</f>
        <v/>
      </c>
      <c r="E17">
        <f>1-E16</f>
        <v/>
      </c>
      <c r="F17">
        <f>1-F16</f>
        <v/>
      </c>
    </row>
    <row r="18">
      <c r="A18" s="3" t="inlineStr">
        <is>
          <t>Entropy weight</t>
        </is>
      </c>
      <c r="B18">
        <f>B17/SUM($B$17:$F$17)</f>
        <v/>
      </c>
      <c r="C18">
        <f>C17/SUM($B$17:$F$17)</f>
        <v/>
      </c>
      <c r="D18">
        <f>D17/SUM($B$17:$F$17)</f>
        <v/>
      </c>
      <c r="E18">
        <f>E17/SUM($B$17:$F$17)</f>
        <v/>
      </c>
      <c r="F18">
        <f>F17/SUM($B$17:$F$17)</f>
        <v/>
      </c>
    </row>
    <row r="19">
      <c r="A19" s="3" t="inlineStr">
        <is>
          <t>Equal weight</t>
        </is>
      </c>
      <c r="B19">
        <f>1/5</f>
        <v/>
      </c>
      <c r="C19">
        <f>1/5</f>
        <v/>
      </c>
      <c r="D19">
        <f>1/5</f>
        <v/>
      </c>
      <c r="E19">
        <f>1/5</f>
        <v/>
      </c>
      <c r="F19">
        <f>1/5</f>
        <v/>
      </c>
    </row>
    <row r="21">
      <c r="A21" s="3" t="inlineStr">
        <is>
          <t>Weighted normalised matrix, entropy weights</t>
        </is>
      </c>
    </row>
    <row r="22">
      <c r="A22" s="3" t="inlineStr">
        <is>
          <t>Unit</t>
        </is>
      </c>
      <c r="B22" s="3" t="inlineStr">
        <is>
          <t>C</t>
        </is>
      </c>
      <c r="C22" s="3" t="inlineStr">
        <is>
          <t>L1</t>
        </is>
      </c>
      <c r="D22" s="3" t="inlineStr">
        <is>
          <t>L2</t>
        </is>
      </c>
      <c r="E22" s="3" t="inlineStr">
        <is>
          <t>L3</t>
        </is>
      </c>
      <c r="F22" s="3" t="inlineStr">
        <is>
          <t>L4</t>
        </is>
      </c>
      <c r="G22" s="3" t="inlineStr">
        <is>
          <t>Distance to ideal</t>
        </is>
      </c>
      <c r="H22" s="3" t="inlineStr">
        <is>
          <t>Distance to anti-ideal</t>
        </is>
      </c>
      <c r="I22" s="3" t="inlineStr">
        <is>
          <t>Closeness</t>
        </is>
      </c>
      <c r="J22" s="3" t="inlineStr">
        <is>
          <t>Rank</t>
        </is>
      </c>
    </row>
    <row r="23">
      <c r="A23" t="inlineStr">
        <is>
          <t>PL</t>
        </is>
      </c>
      <c r="B23">
        <f>B$18*B4/B$15</f>
        <v/>
      </c>
      <c r="C23">
        <f>C$18*C4/C$15</f>
        <v/>
      </c>
      <c r="D23">
        <f>D$18*D4/D$15</f>
        <v/>
      </c>
      <c r="E23">
        <f>E$18*E4/E$15</f>
        <v/>
      </c>
      <c r="F23">
        <f>F$18*F4/F$15</f>
        <v/>
      </c>
      <c r="G23">
        <f>SQRT(SUMPRODUCT((B23:F23-$B$33:$F$33)^2))</f>
        <v/>
      </c>
      <c r="H23">
        <f>SQRT(SUMPRODUCT((B23:F23-$B$34:$F$34)^2))</f>
        <v/>
      </c>
      <c r="I23">
        <f>H23/(G23+H23)</f>
        <v/>
      </c>
      <c r="J23">
        <f>1+COUNTIF($I$23:$I$32,"&gt;"&amp;I23)</f>
        <v/>
      </c>
    </row>
    <row r="24">
      <c r="A24" t="inlineStr">
        <is>
          <t>HU</t>
        </is>
      </c>
      <c r="B24">
        <f>B$18*B5/B$15</f>
        <v/>
      </c>
      <c r="C24">
        <f>C$18*C5/C$15</f>
        <v/>
      </c>
      <c r="D24">
        <f>D$18*D5/D$15</f>
        <v/>
      </c>
      <c r="E24">
        <f>E$18*E5/E$15</f>
        <v/>
      </c>
      <c r="F24">
        <f>F$18*F5/F$15</f>
        <v/>
      </c>
      <c r="G24">
        <f>SQRT(SUMPRODUCT((B24:F24-$B$33:$F$33)^2))</f>
        <v/>
      </c>
      <c r="H24">
        <f>SQRT(SUMPRODUCT((B24:F24-$B$34:$F$34)^2))</f>
        <v/>
      </c>
      <c r="I24">
        <f>H24/(G24+H24)</f>
        <v/>
      </c>
      <c r="J24">
        <f>1+COUNTIF($I$23:$I$32,"&gt;"&amp;I24)</f>
        <v/>
      </c>
    </row>
    <row r="25">
      <c r="A25" t="inlineStr">
        <is>
          <t>RO</t>
        </is>
      </c>
      <c r="B25">
        <f>B$18*B6/B$15</f>
        <v/>
      </c>
      <c r="C25">
        <f>C$18*C6/C$15</f>
        <v/>
      </c>
      <c r="D25">
        <f>D$18*D6/D$15</f>
        <v/>
      </c>
      <c r="E25">
        <f>E$18*E6/E$15</f>
        <v/>
      </c>
      <c r="F25">
        <f>F$18*F6/F$15</f>
        <v/>
      </c>
      <c r="G25">
        <f>SQRT(SUMPRODUCT((B25:F25-$B$33:$F$33)^2))</f>
        <v/>
      </c>
      <c r="H25">
        <f>SQRT(SUMPRODUCT((B25:F25-$B$34:$F$34)^2))</f>
        <v/>
      </c>
      <c r="I25">
        <f>H25/(G25+H25)</f>
        <v/>
      </c>
      <c r="J25">
        <f>1+COUNTIF($I$23:$I$32,"&gt;"&amp;I25)</f>
        <v/>
      </c>
    </row>
    <row r="26">
      <c r="A26" t="inlineStr">
        <is>
          <t>CZ</t>
        </is>
      </c>
      <c r="B26">
        <f>B$18*B7/B$15</f>
        <v/>
      </c>
      <c r="C26">
        <f>C$18*C7/C$15</f>
        <v/>
      </c>
      <c r="D26">
        <f>D$18*D7/D$15</f>
        <v/>
      </c>
      <c r="E26">
        <f>E$18*E7/E$15</f>
        <v/>
      </c>
      <c r="F26">
        <f>F$18*F7/F$15</f>
        <v/>
      </c>
      <c r="G26">
        <f>SQRT(SUMPRODUCT((B26:F26-$B$33:$F$33)^2))</f>
        <v/>
      </c>
      <c r="H26">
        <f>SQRT(SUMPRODUCT((B26:F26-$B$34:$F$34)^2))</f>
        <v/>
      </c>
      <c r="I26">
        <f>H26/(G26+H26)</f>
        <v/>
      </c>
      <c r="J26">
        <f>1+COUNTIF($I$23:$I$32,"&gt;"&amp;I26)</f>
        <v/>
      </c>
    </row>
    <row r="27">
      <c r="A27" t="inlineStr">
        <is>
          <t>SK</t>
        </is>
      </c>
      <c r="B27">
        <f>B$18*B8/B$15</f>
        <v/>
      </c>
      <c r="C27">
        <f>C$18*C8/C$15</f>
        <v/>
      </c>
      <c r="D27">
        <f>D$18*D8/D$15</f>
        <v/>
      </c>
      <c r="E27">
        <f>E$18*E8/E$15</f>
        <v/>
      </c>
      <c r="F27">
        <f>F$18*F8/F$15</f>
        <v/>
      </c>
      <c r="G27">
        <f>SQRT(SUMPRODUCT((B27:F27-$B$33:$F$33)^2))</f>
        <v/>
      </c>
      <c r="H27">
        <f>SQRT(SUMPRODUCT((B27:F27-$B$34:$F$34)^2))</f>
        <v/>
      </c>
      <c r="I27">
        <f>H27/(G27+H27)</f>
        <v/>
      </c>
      <c r="J27">
        <f>1+COUNTIF($I$23:$I$32,"&gt;"&amp;I27)</f>
        <v/>
      </c>
    </row>
    <row r="28">
      <c r="A28" t="inlineStr">
        <is>
          <t>LT</t>
        </is>
      </c>
      <c r="B28">
        <f>B$18*B9/B$15</f>
        <v/>
      </c>
      <c r="C28">
        <f>C$18*C9/C$15</f>
        <v/>
      </c>
      <c r="D28">
        <f>D$18*D9/D$15</f>
        <v/>
      </c>
      <c r="E28">
        <f>E$18*E9/E$15</f>
        <v/>
      </c>
      <c r="F28">
        <f>F$18*F9/F$15</f>
        <v/>
      </c>
      <c r="G28">
        <f>SQRT(SUMPRODUCT((B28:F28-$B$33:$F$33)^2))</f>
        <v/>
      </c>
      <c r="H28">
        <f>SQRT(SUMPRODUCT((B28:F28-$B$34:$F$34)^2))</f>
        <v/>
      </c>
      <c r="I28">
        <f>H28/(G28+H28)</f>
        <v/>
      </c>
      <c r="J28">
        <f>1+COUNTIF($I$23:$I$32,"&gt;"&amp;I28)</f>
        <v/>
      </c>
    </row>
    <row r="29">
      <c r="A29" t="inlineStr">
        <is>
          <t>LV</t>
        </is>
      </c>
      <c r="B29">
        <f>B$18*B10/B$15</f>
        <v/>
      </c>
      <c r="C29">
        <f>C$18*C10/C$15</f>
        <v/>
      </c>
      <c r="D29">
        <f>D$18*D10/D$15</f>
        <v/>
      </c>
      <c r="E29">
        <f>E$18*E10/E$15</f>
        <v/>
      </c>
      <c r="F29">
        <f>F$18*F10/F$15</f>
        <v/>
      </c>
      <c r="G29">
        <f>SQRT(SUMPRODUCT((B29:F29-$B$33:$F$33)^2))</f>
        <v/>
      </c>
      <c r="H29">
        <f>SQRT(SUMPRODUCT((B29:F29-$B$34:$F$34)^2))</f>
        <v/>
      </c>
      <c r="I29">
        <f>H29/(G29+H29)</f>
        <v/>
      </c>
      <c r="J29">
        <f>1+COUNTIF($I$23:$I$32,"&gt;"&amp;I29)</f>
        <v/>
      </c>
    </row>
    <row r="30">
      <c r="A30" t="inlineStr">
        <is>
          <t>EE</t>
        </is>
      </c>
      <c r="B30">
        <f>B$18*B11/B$15</f>
        <v/>
      </c>
      <c r="C30">
        <f>C$18*C11/C$15</f>
        <v/>
      </c>
      <c r="D30">
        <f>D$18*D11/D$15</f>
        <v/>
      </c>
      <c r="E30">
        <f>E$18*E11/E$15</f>
        <v/>
      </c>
      <c r="F30">
        <f>F$18*F11/F$15</f>
        <v/>
      </c>
      <c r="G30">
        <f>SQRT(SUMPRODUCT((B30:F30-$B$33:$F$33)^2))</f>
        <v/>
      </c>
      <c r="H30">
        <f>SQRT(SUMPRODUCT((B30:F30-$B$34:$F$34)^2))</f>
        <v/>
      </c>
      <c r="I30">
        <f>H30/(G30+H30)</f>
        <v/>
      </c>
      <c r="J30">
        <f>1+COUNTIF($I$23:$I$32,"&gt;"&amp;I30)</f>
        <v/>
      </c>
    </row>
    <row r="31">
      <c r="A31" t="inlineStr">
        <is>
          <t>BG</t>
        </is>
      </c>
      <c r="B31">
        <f>B$18*B12/B$15</f>
        <v/>
      </c>
      <c r="C31">
        <f>C$18*C12/C$15</f>
        <v/>
      </c>
      <c r="D31">
        <f>D$18*D12/D$15</f>
        <v/>
      </c>
      <c r="E31">
        <f>E$18*E12/E$15</f>
        <v/>
      </c>
      <c r="F31">
        <f>F$18*F12/F$15</f>
        <v/>
      </c>
      <c r="G31">
        <f>SQRT(SUMPRODUCT((B31:F31-$B$33:$F$33)^2))</f>
        <v/>
      </c>
      <c r="H31">
        <f>SQRT(SUMPRODUCT((B31:F31-$B$34:$F$34)^2))</f>
        <v/>
      </c>
      <c r="I31">
        <f>H31/(G31+H31)</f>
        <v/>
      </c>
      <c r="J31">
        <f>1+COUNTIF($I$23:$I$32,"&gt;"&amp;I31)</f>
        <v/>
      </c>
    </row>
    <row r="32">
      <c r="A32" t="inlineStr">
        <is>
          <t>UA</t>
        </is>
      </c>
      <c r="B32">
        <f>B$18*B13/B$15</f>
        <v/>
      </c>
      <c r="C32">
        <f>C$18*C13/C$15</f>
        <v/>
      </c>
      <c r="D32">
        <f>D$18*D13/D$15</f>
        <v/>
      </c>
      <c r="E32">
        <f>E$18*E13/E$15</f>
        <v/>
      </c>
      <c r="F32">
        <f>F$18*F13/F$15</f>
        <v/>
      </c>
      <c r="G32">
        <f>SQRT(SUMPRODUCT((B32:F32-$B$33:$F$33)^2))</f>
        <v/>
      </c>
      <c r="H32">
        <f>SQRT(SUMPRODUCT((B32:F32-$B$34:$F$34)^2))</f>
        <v/>
      </c>
      <c r="I32">
        <f>H32/(G32+H32)</f>
        <v/>
      </c>
      <c r="J32">
        <f>1+COUNTIF($I$23:$I$32,"&gt;"&amp;I32)</f>
        <v/>
      </c>
    </row>
    <row r="33">
      <c r="A33" t="inlineStr">
        <is>
          <t>Ideal</t>
        </is>
      </c>
      <c r="B33">
        <f>MAX(B23:B32)</f>
        <v/>
      </c>
      <c r="C33">
        <f>MAX(C23:C32)</f>
        <v/>
      </c>
      <c r="D33">
        <f>MAX(D23:D32)</f>
        <v/>
      </c>
      <c r="E33">
        <f>MAX(E23:E32)</f>
        <v/>
      </c>
      <c r="F33">
        <f>MAX(F23:F32)</f>
        <v/>
      </c>
    </row>
    <row r="34">
      <c r="A34" t="inlineStr">
        <is>
          <t>Anti-ideal</t>
        </is>
      </c>
      <c r="B34">
        <f>MIN(B23:B32)</f>
        <v/>
      </c>
      <c r="C34">
        <f>MIN(C23:C32)</f>
        <v/>
      </c>
      <c r="D34">
        <f>MIN(D23:D32)</f>
        <v/>
      </c>
      <c r="E34">
        <f>MIN(E23:E32)</f>
        <v/>
      </c>
      <c r="F34">
        <f>MIN(F23:F32)</f>
        <v/>
      </c>
    </row>
    <row r="39">
      <c r="A39" s="3" t="inlineStr">
        <is>
          <t>Weighted normalised matrix, equal weights</t>
        </is>
      </c>
    </row>
    <row r="40">
      <c r="A40" s="3" t="inlineStr">
        <is>
          <t>Unit</t>
        </is>
      </c>
      <c r="B40" s="3" t="inlineStr">
        <is>
          <t>C</t>
        </is>
      </c>
      <c r="C40" s="3" t="inlineStr">
        <is>
          <t>L1</t>
        </is>
      </c>
      <c r="D40" s="3" t="inlineStr">
        <is>
          <t>L2</t>
        </is>
      </c>
      <c r="E40" s="3" t="inlineStr">
        <is>
          <t>L3</t>
        </is>
      </c>
      <c r="F40" s="3" t="inlineStr">
        <is>
          <t>L4</t>
        </is>
      </c>
      <c r="G40" s="3" t="inlineStr">
        <is>
          <t>Distance to ideal</t>
        </is>
      </c>
      <c r="H40" s="3" t="inlineStr">
        <is>
          <t>Distance to anti-ideal</t>
        </is>
      </c>
      <c r="I40" s="3" t="inlineStr">
        <is>
          <t>Closeness</t>
        </is>
      </c>
      <c r="J40" s="3" t="inlineStr">
        <is>
          <t>Rank</t>
        </is>
      </c>
    </row>
    <row r="41">
      <c r="A41" t="inlineStr">
        <is>
          <t>PL</t>
        </is>
      </c>
      <c r="B41">
        <f>B$19*B4/B$15</f>
        <v/>
      </c>
      <c r="C41">
        <f>C$19*C4/C$15</f>
        <v/>
      </c>
      <c r="D41">
        <f>D$19*D4/D$15</f>
        <v/>
      </c>
      <c r="E41">
        <f>E$19*E4/E$15</f>
        <v/>
      </c>
      <c r="F41">
        <f>F$19*F4/F$15</f>
        <v/>
      </c>
      <c r="G41">
        <f>SQRT(SUMPRODUCT((B41:F41-$B$51:$F$51)^2))</f>
        <v/>
      </c>
      <c r="H41">
        <f>SQRT(SUMPRODUCT((B41:F41-$B$52:$F$52)^2))</f>
        <v/>
      </c>
      <c r="I41">
        <f>H41/(G41+H41)</f>
        <v/>
      </c>
      <c r="J41">
        <f>1+COUNTIF($I$41:$I$50,"&gt;"&amp;I41)</f>
        <v/>
      </c>
    </row>
    <row r="42">
      <c r="A42" t="inlineStr">
        <is>
          <t>HU</t>
        </is>
      </c>
      <c r="B42">
        <f>B$19*B5/B$15</f>
        <v/>
      </c>
      <c r="C42">
        <f>C$19*C5/C$15</f>
        <v/>
      </c>
      <c r="D42">
        <f>D$19*D5/D$15</f>
        <v/>
      </c>
      <c r="E42">
        <f>E$19*E5/E$15</f>
        <v/>
      </c>
      <c r="F42">
        <f>F$19*F5/F$15</f>
        <v/>
      </c>
      <c r="G42">
        <f>SQRT(SUMPRODUCT((B42:F42-$B$51:$F$51)^2))</f>
        <v/>
      </c>
      <c r="H42">
        <f>SQRT(SUMPRODUCT((B42:F42-$B$52:$F$52)^2))</f>
        <v/>
      </c>
      <c r="I42">
        <f>H42/(G42+H42)</f>
        <v/>
      </c>
      <c r="J42">
        <f>1+COUNTIF($I$41:$I$50,"&gt;"&amp;I42)</f>
        <v/>
      </c>
    </row>
    <row r="43">
      <c r="A43" t="inlineStr">
        <is>
          <t>RO</t>
        </is>
      </c>
      <c r="B43">
        <f>B$19*B6/B$15</f>
        <v/>
      </c>
      <c r="C43">
        <f>C$19*C6/C$15</f>
        <v/>
      </c>
      <c r="D43">
        <f>D$19*D6/D$15</f>
        <v/>
      </c>
      <c r="E43">
        <f>E$19*E6/E$15</f>
        <v/>
      </c>
      <c r="F43">
        <f>F$19*F6/F$15</f>
        <v/>
      </c>
      <c r="G43">
        <f>SQRT(SUMPRODUCT((B43:F43-$B$51:$F$51)^2))</f>
        <v/>
      </c>
      <c r="H43">
        <f>SQRT(SUMPRODUCT((B43:F43-$B$52:$F$52)^2))</f>
        <v/>
      </c>
      <c r="I43">
        <f>H43/(G43+H43)</f>
        <v/>
      </c>
      <c r="J43">
        <f>1+COUNTIF($I$41:$I$50,"&gt;"&amp;I43)</f>
        <v/>
      </c>
    </row>
    <row r="44">
      <c r="A44" t="inlineStr">
        <is>
          <t>CZ</t>
        </is>
      </c>
      <c r="B44">
        <f>B$19*B7/B$15</f>
        <v/>
      </c>
      <c r="C44">
        <f>C$19*C7/C$15</f>
        <v/>
      </c>
      <c r="D44">
        <f>D$19*D7/D$15</f>
        <v/>
      </c>
      <c r="E44">
        <f>E$19*E7/E$15</f>
        <v/>
      </c>
      <c r="F44">
        <f>F$19*F7/F$15</f>
        <v/>
      </c>
      <c r="G44">
        <f>SQRT(SUMPRODUCT((B44:F44-$B$51:$F$51)^2))</f>
        <v/>
      </c>
      <c r="H44">
        <f>SQRT(SUMPRODUCT((B44:F44-$B$52:$F$52)^2))</f>
        <v/>
      </c>
      <c r="I44">
        <f>H44/(G44+H44)</f>
        <v/>
      </c>
      <c r="J44">
        <f>1+COUNTIF($I$41:$I$50,"&gt;"&amp;I44)</f>
        <v/>
      </c>
    </row>
    <row r="45">
      <c r="A45" t="inlineStr">
        <is>
          <t>SK</t>
        </is>
      </c>
      <c r="B45">
        <f>B$19*B8/B$15</f>
        <v/>
      </c>
      <c r="C45">
        <f>C$19*C8/C$15</f>
        <v/>
      </c>
      <c r="D45">
        <f>D$19*D8/D$15</f>
        <v/>
      </c>
      <c r="E45">
        <f>E$19*E8/E$15</f>
        <v/>
      </c>
      <c r="F45">
        <f>F$19*F8/F$15</f>
        <v/>
      </c>
      <c r="G45">
        <f>SQRT(SUMPRODUCT((B45:F45-$B$51:$F$51)^2))</f>
        <v/>
      </c>
      <c r="H45">
        <f>SQRT(SUMPRODUCT((B45:F45-$B$52:$F$52)^2))</f>
        <v/>
      </c>
      <c r="I45">
        <f>H45/(G45+H45)</f>
        <v/>
      </c>
      <c r="J45">
        <f>1+COUNTIF($I$41:$I$50,"&gt;"&amp;I45)</f>
        <v/>
      </c>
    </row>
    <row r="46">
      <c r="A46" t="inlineStr">
        <is>
          <t>LT</t>
        </is>
      </c>
      <c r="B46">
        <f>B$19*B9/B$15</f>
        <v/>
      </c>
      <c r="C46">
        <f>C$19*C9/C$15</f>
        <v/>
      </c>
      <c r="D46">
        <f>D$19*D9/D$15</f>
        <v/>
      </c>
      <c r="E46">
        <f>E$19*E9/E$15</f>
        <v/>
      </c>
      <c r="F46">
        <f>F$19*F9/F$15</f>
        <v/>
      </c>
      <c r="G46">
        <f>SQRT(SUMPRODUCT((B46:F46-$B$51:$F$51)^2))</f>
        <v/>
      </c>
      <c r="H46">
        <f>SQRT(SUMPRODUCT((B46:F46-$B$52:$F$52)^2))</f>
        <v/>
      </c>
      <c r="I46">
        <f>H46/(G46+H46)</f>
        <v/>
      </c>
      <c r="J46">
        <f>1+COUNTIF($I$41:$I$50,"&gt;"&amp;I46)</f>
        <v/>
      </c>
    </row>
    <row r="47">
      <c r="A47" t="inlineStr">
        <is>
          <t>LV</t>
        </is>
      </c>
      <c r="B47">
        <f>B$19*B10/B$15</f>
        <v/>
      </c>
      <c r="C47">
        <f>C$19*C10/C$15</f>
        <v/>
      </c>
      <c r="D47">
        <f>D$19*D10/D$15</f>
        <v/>
      </c>
      <c r="E47">
        <f>E$19*E10/E$15</f>
        <v/>
      </c>
      <c r="F47">
        <f>F$19*F10/F$15</f>
        <v/>
      </c>
      <c r="G47">
        <f>SQRT(SUMPRODUCT((B47:F47-$B$51:$F$51)^2))</f>
        <v/>
      </c>
      <c r="H47">
        <f>SQRT(SUMPRODUCT((B47:F47-$B$52:$F$52)^2))</f>
        <v/>
      </c>
      <c r="I47">
        <f>H47/(G47+H47)</f>
        <v/>
      </c>
      <c r="J47">
        <f>1+COUNTIF($I$41:$I$50,"&gt;"&amp;I47)</f>
        <v/>
      </c>
    </row>
    <row r="48">
      <c r="A48" t="inlineStr">
        <is>
          <t>EE</t>
        </is>
      </c>
      <c r="B48">
        <f>B$19*B11/B$15</f>
        <v/>
      </c>
      <c r="C48">
        <f>C$19*C11/C$15</f>
        <v/>
      </c>
      <c r="D48">
        <f>D$19*D11/D$15</f>
        <v/>
      </c>
      <c r="E48">
        <f>E$19*E11/E$15</f>
        <v/>
      </c>
      <c r="F48">
        <f>F$19*F11/F$15</f>
        <v/>
      </c>
      <c r="G48">
        <f>SQRT(SUMPRODUCT((B48:F48-$B$51:$F$51)^2))</f>
        <v/>
      </c>
      <c r="H48">
        <f>SQRT(SUMPRODUCT((B48:F48-$B$52:$F$52)^2))</f>
        <v/>
      </c>
      <c r="I48">
        <f>H48/(G48+H48)</f>
        <v/>
      </c>
      <c r="J48">
        <f>1+COUNTIF($I$41:$I$50,"&gt;"&amp;I48)</f>
        <v/>
      </c>
    </row>
    <row r="49">
      <c r="A49" t="inlineStr">
        <is>
          <t>BG</t>
        </is>
      </c>
      <c r="B49">
        <f>B$19*B12/B$15</f>
        <v/>
      </c>
      <c r="C49">
        <f>C$19*C12/C$15</f>
        <v/>
      </c>
      <c r="D49">
        <f>D$19*D12/D$15</f>
        <v/>
      </c>
      <c r="E49">
        <f>E$19*E12/E$15</f>
        <v/>
      </c>
      <c r="F49">
        <f>F$19*F12/F$15</f>
        <v/>
      </c>
      <c r="G49">
        <f>SQRT(SUMPRODUCT((B49:F49-$B$51:$F$51)^2))</f>
        <v/>
      </c>
      <c r="H49">
        <f>SQRT(SUMPRODUCT((B49:F49-$B$52:$F$52)^2))</f>
        <v/>
      </c>
      <c r="I49">
        <f>H49/(G49+H49)</f>
        <v/>
      </c>
      <c r="J49">
        <f>1+COUNTIF($I$41:$I$50,"&gt;"&amp;I49)</f>
        <v/>
      </c>
    </row>
    <row r="50">
      <c r="A50" t="inlineStr">
        <is>
          <t>UA</t>
        </is>
      </c>
      <c r="B50">
        <f>B$19*B13/B$15</f>
        <v/>
      </c>
      <c r="C50">
        <f>C$19*C13/C$15</f>
        <v/>
      </c>
      <c r="D50">
        <f>D$19*D13/D$15</f>
        <v/>
      </c>
      <c r="E50">
        <f>E$19*E13/E$15</f>
        <v/>
      </c>
      <c r="F50">
        <f>F$19*F13/F$15</f>
        <v/>
      </c>
      <c r="G50">
        <f>SQRT(SUMPRODUCT((B50:F50-$B$51:$F$51)^2))</f>
        <v/>
      </c>
      <c r="H50">
        <f>SQRT(SUMPRODUCT((B50:F50-$B$52:$F$52)^2))</f>
        <v/>
      </c>
      <c r="I50">
        <f>H50/(G50+H50)</f>
        <v/>
      </c>
      <c r="J50">
        <f>1+COUNTIF($I$41:$I$50,"&gt;"&amp;I50)</f>
        <v/>
      </c>
    </row>
    <row r="51">
      <c r="A51" t="inlineStr">
        <is>
          <t>Ideal</t>
        </is>
      </c>
      <c r="B51">
        <f>MAX(B41:B50)</f>
        <v/>
      </c>
      <c r="C51">
        <f>MAX(C41:C50)</f>
        <v/>
      </c>
      <c r="D51">
        <f>MAX(D41:D50)</f>
        <v/>
      </c>
      <c r="E51">
        <f>MAX(E41:E50)</f>
        <v/>
      </c>
      <c r="F51">
        <f>MAX(F41:F50)</f>
        <v/>
      </c>
    </row>
    <row r="52">
      <c r="A52" t="inlineStr">
        <is>
          <t>Anti-ideal</t>
        </is>
      </c>
      <c r="B52">
        <f>MIN(B41:B50)</f>
        <v/>
      </c>
      <c r="C52">
        <f>MIN(C41:C50)</f>
        <v/>
      </c>
      <c r="D52">
        <f>MIN(D41:D50)</f>
        <v/>
      </c>
      <c r="E52">
        <f>MIN(E41:E50)</f>
        <v/>
      </c>
      <c r="F52">
        <f>MIN(F41:F50)</f>
        <v/>
      </c>
    </row>
    <row r="60">
      <c r="A60" s="3" t="inlineStr">
        <is>
          <t>Spearman ADMI vs TOPSIS (entropy weights)</t>
        </is>
      </c>
      <c r="B60">
        <f>1-6*SUMPRODUCT((Processing_index!$AF$6:$AF$15-TOPSIS!$J$23:$J$32)^2)/(10*(10^2-1))</f>
        <v/>
      </c>
    </row>
    <row r="61">
      <c r="A61" s="3" t="inlineStr">
        <is>
          <t>Pearson ADMI vs TOPSIS closeness</t>
        </is>
      </c>
      <c r="B61">
        <f>SUMPRODUCT((Processing_index!$AD$6:$AD$15-AVERAGE(Processing_index!$AD$6:$AD$15))*(TOPSIS!$I$23:$I$32-AVERAGE(TOPSIS!$I$23:$I$32)))/SQRT(SUMPRODUCT((Processing_index!$AD$6:$AD$15-AVERAGE(Processing_index!$AD$6:$AD$15))^2)*SUMPRODUCT((TOPSIS!$I$23:$I$32-AVERAGE(TOPSIS!$I$23:$I$32))^2))</f>
        <v/>
      </c>
    </row>
    <row r="62">
      <c r="A62" s="3" t="inlineStr">
        <is>
          <t>Spearman TOPSIS entropy vs equal weights</t>
        </is>
      </c>
      <c r="B62">
        <f>1-6*SUMPRODUCT((TOPSIS!$J$23:$J$32-TOPSIS!$J$41:$J$50)^2)/(10*(10^2-1))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s="1" t="inlineStr">
        <is>
          <t>Mean layer profiles of CEE countries at levels 3 and 4 and the gap of Ukraine</t>
        </is>
      </c>
    </row>
    <row r="3">
      <c r="A3" s="3" t="inlineStr">
        <is>
          <t>Component</t>
        </is>
      </c>
      <c r="B3" s="3" t="inlineStr">
        <is>
          <t>Ukraine</t>
        </is>
      </c>
      <c r="C3" s="3" t="inlineStr">
        <is>
          <t>Level 3 mean</t>
        </is>
      </c>
      <c r="D3" s="3" t="inlineStr">
        <is>
          <t>Level 4 mean</t>
        </is>
      </c>
      <c r="E3" s="3" t="inlineStr">
        <is>
          <t>EU-27</t>
        </is>
      </c>
      <c r="F3" s="3" t="inlineStr">
        <is>
          <t>Gap to level 3</t>
        </is>
      </c>
    </row>
    <row r="4">
      <c r="A4" t="inlineStr">
        <is>
          <t>C</t>
        </is>
      </c>
      <c r="B4">
        <f>Processing_index!$S$15</f>
        <v/>
      </c>
      <c r="C4">
        <f>AVERAGEIFS(Processing_index!$S$6:$S$14,Processing_index!$AE$6:$AE$14,3)</f>
        <v/>
      </c>
      <c r="D4">
        <f>AVERAGEIFS(Processing_index!$S$6:$S$14,Processing_index!$AE$6:$AE$14,4)</f>
        <v/>
      </c>
      <c r="E4">
        <f>Processing_index!$S$4</f>
        <v/>
      </c>
      <c r="F4">
        <f>C4-B4</f>
        <v/>
      </c>
    </row>
    <row r="5">
      <c r="A5" t="inlineStr">
        <is>
          <t>L1</t>
        </is>
      </c>
      <c r="B5">
        <f>Processing_index!$T$15</f>
        <v/>
      </c>
      <c r="C5">
        <f>AVERAGEIFS(Processing_index!$T$6:$T$14,Processing_index!$AE$6:$AE$14,3)</f>
        <v/>
      </c>
      <c r="D5">
        <f>AVERAGEIFS(Processing_index!$T$6:$T$14,Processing_index!$AE$6:$AE$14,4)</f>
        <v/>
      </c>
      <c r="E5">
        <f>Processing_index!$T$4</f>
        <v/>
      </c>
      <c r="F5">
        <f>C5-B5</f>
        <v/>
      </c>
    </row>
    <row r="6">
      <c r="A6" t="inlineStr">
        <is>
          <t>L2</t>
        </is>
      </c>
      <c r="B6">
        <f>Processing_index!$U$15</f>
        <v/>
      </c>
      <c r="C6">
        <f>AVERAGEIFS(Processing_index!$U$6:$U$14,Processing_index!$AE$6:$AE$14,3)</f>
        <v/>
      </c>
      <c r="D6">
        <f>AVERAGEIFS(Processing_index!$U$6:$U$14,Processing_index!$AE$6:$AE$14,4)</f>
        <v/>
      </c>
      <c r="E6">
        <f>Processing_index!$U$4</f>
        <v/>
      </c>
      <c r="F6">
        <f>C6-B6</f>
        <v/>
      </c>
    </row>
    <row r="7">
      <c r="A7" t="inlineStr">
        <is>
          <t>L3</t>
        </is>
      </c>
      <c r="B7">
        <f>Processing_index!$V$15</f>
        <v/>
      </c>
      <c r="C7">
        <f>AVERAGEIFS(Processing_index!$V$6:$V$14,Processing_index!$AE$6:$AE$14,3)</f>
        <v/>
      </c>
      <c r="D7">
        <f>AVERAGEIFS(Processing_index!$V$6:$V$14,Processing_index!$AE$6:$AE$14,4)</f>
        <v/>
      </c>
      <c r="E7">
        <f>Processing_index!$V$4</f>
        <v/>
      </c>
      <c r="F7">
        <f>C7-B7</f>
        <v/>
      </c>
    </row>
    <row r="8">
      <c r="A8" t="inlineStr">
        <is>
          <t>L4</t>
        </is>
      </c>
      <c r="B8">
        <f>Processing_index!$W$15</f>
        <v/>
      </c>
      <c r="C8">
        <f>AVERAGEIFS(Processing_index!$W$6:$W$14,Processing_index!$AE$6:$AE$14,3)</f>
        <v/>
      </c>
      <c r="D8">
        <f>AVERAGEIFS(Processing_index!$W$6:$W$14,Processing_index!$AE$6:$AE$14,4)</f>
        <v/>
      </c>
      <c r="E8">
        <f>Processing_index!$W$4</f>
        <v/>
      </c>
      <c r="F8">
        <f>C8-B8</f>
        <v/>
      </c>
    </row>
    <row r="9">
      <c r="A9" t="inlineStr">
        <is>
          <t>DM_I</t>
        </is>
      </c>
      <c r="B9">
        <f>Processing_index!$X$15</f>
        <v/>
      </c>
      <c r="C9">
        <f>AVERAGEIFS(Processing_index!$X$6:$X$14,Processing_index!$AE$6:$AE$14,3)</f>
        <v/>
      </c>
      <c r="D9">
        <f>AVERAGEIFS(Processing_index!$X$6:$X$14,Processing_index!$AE$6:$AE$14,4)</f>
        <v/>
      </c>
      <c r="E9">
        <f>Processing_index!$X$4</f>
        <v/>
      </c>
      <c r="F9">
        <f>C9-B9</f>
        <v/>
      </c>
    </row>
    <row r="10">
      <c r="A10" t="inlineStr">
        <is>
          <t>DM_S</t>
        </is>
      </c>
      <c r="B10">
        <f>Processing_index!$Y$15</f>
        <v/>
      </c>
      <c r="C10">
        <f>AVERAGEIFS(Processing_index!$Y$6:$Y$14,Processing_index!$AE$6:$AE$14,3)</f>
        <v/>
      </c>
      <c r="D10">
        <f>AVERAGEIFS(Processing_index!$Y$6:$Y$14,Processing_index!$AE$6:$AE$14,4)</f>
        <v/>
      </c>
      <c r="E10">
        <f>Processing_index!$Y$4</f>
        <v/>
      </c>
      <c r="F10">
        <f>C10-B10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18"/>
  <sheetViews>
    <sheetView workbookViewId="0">
      <selection activeCell="A1" sqref="A1"/>
    </sheetView>
  </sheetViews>
  <sheetFormatPr baseColWidth="8" defaultRowHeight="15"/>
  <sheetData>
    <row r="1">
      <c r="A1" s="1" t="inlineStr">
        <is>
          <t>Min-max normalisation: DM = MIN(1, MAX(0, (P - P_min) / (P_leader - P_min)))</t>
        </is>
      </c>
    </row>
    <row r="3">
      <c r="A3" s="3" t="inlineStr">
        <is>
          <t>Unit</t>
        </is>
      </c>
      <c r="B3" s="3" t="inlineStr">
        <is>
          <t>ERP</t>
        </is>
      </c>
      <c r="C3" s="3" t="inlineStr">
        <is>
          <t>IOT_PRODUCTION</t>
        </is>
      </c>
      <c r="D3" s="3" t="inlineStr">
        <is>
          <t>ICT_SECURITY_DOCUMENT</t>
        </is>
      </c>
      <c r="E3" s="3" t="inlineStr">
        <is>
          <t>ICT_TRAINING_ICT_SPECIALISTS</t>
        </is>
      </c>
      <c r="F3" s="3" t="inlineStr">
        <is>
          <t>ICT_TRAINING_OTHER_EMPLOYEES</t>
        </is>
      </c>
      <c r="G3" s="3" t="inlineStr">
        <is>
          <t>SUPPLY_CHAIN_DATA_EXCHANGE</t>
        </is>
      </c>
      <c r="H3" s="3" t="inlineStr">
        <is>
          <t>DATA_ANALYTICS</t>
        </is>
      </c>
      <c r="I3" s="3" t="inlineStr">
        <is>
          <t>IOT_ANY</t>
        </is>
      </c>
      <c r="J3" s="3" t="inlineStr">
        <is>
          <t>MOBILE_INTERNET</t>
        </is>
      </c>
      <c r="K3" s="3" t="inlineStr">
        <is>
          <t>PAID_CLOUD</t>
        </is>
      </c>
      <c r="L3" s="3" t="inlineStr">
        <is>
          <t>ECOMMERCE_SALES</t>
        </is>
      </c>
      <c r="M3" s="3" t="inlineStr">
        <is>
          <t>WEBSITE</t>
        </is>
      </c>
      <c r="N3" s="3" t="inlineStr">
        <is>
          <t>CRM</t>
        </is>
      </c>
      <c r="O3" s="3" t="inlineStr">
        <is>
          <t>EINVOICE_AUTOMATED</t>
        </is>
      </c>
      <c r="P3" s="3" t="inlineStr">
        <is>
          <t>BI</t>
        </is>
      </c>
      <c r="Q3" s="3" t="inlineStr">
        <is>
          <t>AI_ANY</t>
        </is>
      </c>
      <c r="R3" s="3" t="inlineStr">
        <is>
          <t>DII_BASIC_V3</t>
        </is>
      </c>
      <c r="S3" s="3" t="inlineStr">
        <is>
          <t>C</t>
        </is>
      </c>
      <c r="T3" s="3" t="inlineStr">
        <is>
          <t>L1</t>
        </is>
      </c>
      <c r="U3" s="3" t="inlineStr">
        <is>
          <t>L2</t>
        </is>
      </c>
      <c r="V3" s="3" t="inlineStr">
        <is>
          <t>L3</t>
        </is>
      </c>
      <c r="W3" s="3" t="inlineStr">
        <is>
          <t>L4</t>
        </is>
      </c>
      <c r="X3" s="3" t="inlineStr">
        <is>
          <t>DM_I</t>
        </is>
      </c>
      <c r="Y3" s="3" t="inlineStr">
        <is>
          <t>DM_S</t>
        </is>
      </c>
      <c r="Z3" s="3" t="inlineStr">
        <is>
          <t>ADMI_base</t>
        </is>
      </c>
      <c r="AA3" s="3" t="inlineStr">
        <is>
          <t>DM_min</t>
        </is>
      </c>
      <c r="AB3" s="3" t="inlineStr">
        <is>
          <t>Weakest layer</t>
        </is>
      </c>
      <c r="AC3" s="3" t="inlineStr">
        <is>
          <t>Penalty</t>
        </is>
      </c>
      <c r="AD3" s="3" t="inlineStr">
        <is>
          <t>ADMI</t>
        </is>
      </c>
      <c r="AE3" s="3" t="inlineStr">
        <is>
          <t>Level</t>
        </is>
      </c>
      <c r="AF3" s="3" t="inlineStr">
        <is>
          <t>Rank (9 CEE + UA)</t>
        </is>
      </c>
    </row>
    <row r="4">
      <c r="A4" t="inlineStr">
        <is>
          <t>EU27_2020</t>
        </is>
      </c>
      <c r="B4">
        <f>IF(Processing_data!$AH$4="","",MIN(1,MAX(0,(Processing_data!$AH$4-Processing_data!$AL$4)/(Processing_data!$AJ$4-Processing_data!$AL$4))))</f>
        <v/>
      </c>
      <c r="C4">
        <f>IF(Processing_data!$AH$5="","",MIN(1,MAX(0,(Processing_data!$AH$5-Processing_data!$AL$5)/(Processing_data!$AJ$5-Processing_data!$AL$5))))</f>
        <v/>
      </c>
      <c r="D4">
        <f>IF(Processing_data!$AH$6="","",MIN(1,MAX(0,(Processing_data!$AH$6-Processing_data!$AL$6)/(Processing_data!$AJ$6-Processing_data!$AL$6))))</f>
        <v/>
      </c>
      <c r="E4">
        <f>IF(Processing_data!$AH$7="","",MIN(1,MAX(0,(Processing_data!$AH$7-Processing_data!$AL$7)/(Processing_data!$AJ$7-Processing_data!$AL$7))))</f>
        <v/>
      </c>
      <c r="F4">
        <f>IF(Processing_data!$AH$8="","",MIN(1,MAX(0,(Processing_data!$AH$8-Processing_data!$AL$8)/(Processing_data!$AJ$8-Processing_data!$AL$8))))</f>
        <v/>
      </c>
      <c r="G4">
        <f>IF(Processing_data!$AH$9="","",MIN(1,MAX(0,(Processing_data!$AH$9-Processing_data!$AL$9)/(Processing_data!$AJ$9-Processing_data!$AL$9))))</f>
        <v/>
      </c>
      <c r="H4">
        <f>IF(Processing_data!$AH$10="","",MIN(1,MAX(0,(Processing_data!$AH$10-Processing_data!$AL$10)/(Processing_data!$AJ$10-Processing_data!$AL$10))))</f>
        <v/>
      </c>
      <c r="I4">
        <f>IF(Processing_data!$AH$11="","",MIN(1,MAX(0,(Processing_data!$AH$11-Processing_data!$AL$11)/(Processing_data!$AJ$11-Processing_data!$AL$11))))</f>
        <v/>
      </c>
      <c r="J4">
        <f>IF(Processing_data!$AH$12="","",MIN(1,MAX(0,(Processing_data!$AH$12-Processing_data!$AL$12)/(Processing_data!$AJ$12-Processing_data!$AL$12))))</f>
        <v/>
      </c>
      <c r="K4">
        <f>IF(Processing_data!$AH$13="","",MIN(1,MAX(0,(Processing_data!$AH$13-Processing_data!$AL$13)/(Processing_data!$AJ$13-Processing_data!$AL$13))))</f>
        <v/>
      </c>
      <c r="L4">
        <f>IF(Processing_data!$AH$14="","",MIN(1,MAX(0,(Processing_data!$AH$14-Processing_data!$AL$14)/(Processing_data!$AJ$14-Processing_data!$AL$14))))</f>
        <v/>
      </c>
      <c r="M4">
        <f>IF(Processing_data!$AH$15="","",MIN(1,MAX(0,(Processing_data!$AH$15-Processing_data!$AL$15)/(Processing_data!$AJ$15-Processing_data!$AL$15))))</f>
        <v/>
      </c>
      <c r="N4">
        <f>IF(Processing_data!$AH$16="","",MIN(1,MAX(0,(Processing_data!$AH$16-Processing_data!$AL$16)/(Processing_data!$AJ$16-Processing_data!$AL$16))))</f>
        <v/>
      </c>
      <c r="O4">
        <f>IF(Processing_data!$AH$17="","",MIN(1,MAX(0,(Processing_data!$AH$17-Processing_data!$AL$17)/(Processing_data!$AJ$17-Processing_data!$AL$17))))</f>
        <v/>
      </c>
      <c r="P4">
        <f>IF(Processing_data!$AH$18="","",MIN(1,MAX(0,(Processing_data!$AH$18-Processing_data!$AL$18)/(Processing_data!$AJ$18-Processing_data!$AL$18))))</f>
        <v/>
      </c>
      <c r="Q4">
        <f>IF(Processing_data!$AH$19="","",MIN(1,MAX(0,(Processing_data!$AH$19-Processing_data!$AL$19)/(Processing_data!$AJ$19-Processing_data!$AL$19))))</f>
        <v/>
      </c>
      <c r="R4">
        <f>IF(Processing_data!$AH$20="","",MIN(1,MAX(0,(Processing_data!$AH$20-Processing_data!$AL$20)/(Processing_data!$AJ$20-Processing_data!$AL$20))))</f>
        <v/>
      </c>
      <c r="S4">
        <f>AVERAGE(B4:D4)</f>
        <v/>
      </c>
      <c r="T4">
        <f>AVERAGE(E4:F4)</f>
        <v/>
      </c>
      <c r="U4">
        <f>AVERAGE(G4:I4)</f>
        <v/>
      </c>
      <c r="V4">
        <f>AVERAGE(J4:K4)</f>
        <v/>
      </c>
      <c r="W4">
        <f>AVERAGE(L4:N4)</f>
        <v/>
      </c>
      <c r="X4">
        <f>AVERAGE(O4:P4)</f>
        <v/>
      </c>
      <c r="Y4">
        <f>AVERAGE(Q4:R4)</f>
        <v/>
      </c>
      <c r="Z4">
        <f>AVERAGE(S4:W4)</f>
        <v/>
      </c>
      <c r="AA4">
        <f>MIN(S4:W4)</f>
        <v/>
      </c>
      <c r="AB4">
        <f>INDEX($S$3:$W$3,MATCH(AA4,S4:W4,0))</f>
        <v/>
      </c>
      <c r="AC4">
        <f>1-alpha*MAX(0,delta-AA4)</f>
        <v/>
      </c>
      <c r="AD4">
        <f>Z4*AC4</f>
        <v/>
      </c>
      <c r="AE4">
        <f>1+COUNTIF(bounds,"&lt;"&amp;ROUND(AD4,12))</f>
        <v/>
      </c>
    </row>
    <row r="5">
      <c r="A5" t="inlineStr">
        <is>
          <t>DE</t>
        </is>
      </c>
      <c r="B5">
        <f>IF(Processing_data!$L$4="","",MIN(1,MAX(0,(Processing_data!$L$4-Processing_data!$AL$4)/(Processing_data!$AJ$4-Processing_data!$AL$4))))</f>
        <v/>
      </c>
      <c r="C5">
        <f>IF(Processing_data!$L$5="","",MIN(1,MAX(0,(Processing_data!$L$5-Processing_data!$AL$5)/(Processing_data!$AJ$5-Processing_data!$AL$5))))</f>
        <v/>
      </c>
      <c r="D5">
        <f>IF(Processing_data!$L$6="","",MIN(1,MAX(0,(Processing_data!$L$6-Processing_data!$AL$6)/(Processing_data!$AJ$6-Processing_data!$AL$6))))</f>
        <v/>
      </c>
      <c r="E5">
        <f>IF(Processing_data!$L$7="","",MIN(1,MAX(0,(Processing_data!$L$7-Processing_data!$AL$7)/(Processing_data!$AJ$7-Processing_data!$AL$7))))</f>
        <v/>
      </c>
      <c r="F5">
        <f>IF(Processing_data!$L$8="","",MIN(1,MAX(0,(Processing_data!$L$8-Processing_data!$AL$8)/(Processing_data!$AJ$8-Processing_data!$AL$8))))</f>
        <v/>
      </c>
      <c r="G5">
        <f>IF(Processing_data!$L$9="","",MIN(1,MAX(0,(Processing_data!$L$9-Processing_data!$AL$9)/(Processing_data!$AJ$9-Processing_data!$AL$9))))</f>
        <v/>
      </c>
      <c r="H5">
        <f>IF(Processing_data!$L$10="","",MIN(1,MAX(0,(Processing_data!$L$10-Processing_data!$AL$10)/(Processing_data!$AJ$10-Processing_data!$AL$10))))</f>
        <v/>
      </c>
      <c r="I5">
        <f>IF(Processing_data!$L$11="","",MIN(1,MAX(0,(Processing_data!$L$11-Processing_data!$AL$11)/(Processing_data!$AJ$11-Processing_data!$AL$11))))</f>
        <v/>
      </c>
      <c r="J5">
        <f>IF(Processing_data!$L$12="","",MIN(1,MAX(0,(Processing_data!$L$12-Processing_data!$AL$12)/(Processing_data!$AJ$12-Processing_data!$AL$12))))</f>
        <v/>
      </c>
      <c r="K5">
        <f>IF(Processing_data!$L$13="","",MIN(1,MAX(0,(Processing_data!$L$13-Processing_data!$AL$13)/(Processing_data!$AJ$13-Processing_data!$AL$13))))</f>
        <v/>
      </c>
      <c r="L5">
        <f>IF(Processing_data!$L$14="","",MIN(1,MAX(0,(Processing_data!$L$14-Processing_data!$AL$14)/(Processing_data!$AJ$14-Processing_data!$AL$14))))</f>
        <v/>
      </c>
      <c r="M5">
        <f>IF(Processing_data!$L$15="","",MIN(1,MAX(0,(Processing_data!$L$15-Processing_data!$AL$15)/(Processing_data!$AJ$15-Processing_data!$AL$15))))</f>
        <v/>
      </c>
      <c r="N5">
        <f>IF(Processing_data!$L$16="","",MIN(1,MAX(0,(Processing_data!$L$16-Processing_data!$AL$16)/(Processing_data!$AJ$16-Processing_data!$AL$16))))</f>
        <v/>
      </c>
      <c r="O5">
        <f>IF(Processing_data!$L$17="","",MIN(1,MAX(0,(Processing_data!$L$17-Processing_data!$AL$17)/(Processing_data!$AJ$17-Processing_data!$AL$17))))</f>
        <v/>
      </c>
      <c r="P5">
        <f>IF(Processing_data!$L$18="","",MIN(1,MAX(0,(Processing_data!$L$18-Processing_data!$AL$18)/(Processing_data!$AJ$18-Processing_data!$AL$18))))</f>
        <v/>
      </c>
      <c r="Q5">
        <f>IF(Processing_data!$L$19="","",MIN(1,MAX(0,(Processing_data!$L$19-Processing_data!$AL$19)/(Processing_data!$AJ$19-Processing_data!$AL$19))))</f>
        <v/>
      </c>
      <c r="R5">
        <f>IF(Processing_data!$L$20="","",MIN(1,MAX(0,(Processing_data!$L$20-Processing_data!$AL$20)/(Processing_data!$AJ$20-Processing_data!$AL$20))))</f>
        <v/>
      </c>
      <c r="S5">
        <f>AVERAGE(B5:D5)</f>
        <v/>
      </c>
      <c r="T5">
        <f>AVERAGE(E5:F5)</f>
        <v/>
      </c>
      <c r="U5">
        <f>AVERAGE(G5:I5)</f>
        <v/>
      </c>
      <c r="V5">
        <f>AVERAGE(J5:K5)</f>
        <v/>
      </c>
      <c r="W5">
        <f>AVERAGE(L5:N5)</f>
        <v/>
      </c>
      <c r="X5">
        <f>AVERAGE(O5:P5)</f>
        <v/>
      </c>
      <c r="Y5">
        <f>AVERAGE(Q5:R5)</f>
        <v/>
      </c>
      <c r="Z5">
        <f>AVERAGE(S5:W5)</f>
        <v/>
      </c>
      <c r="AA5">
        <f>MIN(S5:W5)</f>
        <v/>
      </c>
      <c r="AB5">
        <f>INDEX($S$3:$W$3,MATCH(AA5,S5:W5,0))</f>
        <v/>
      </c>
      <c r="AC5">
        <f>1-alpha*MAX(0,delta-AA5)</f>
        <v/>
      </c>
      <c r="AD5">
        <f>Z5*AC5</f>
        <v/>
      </c>
      <c r="AE5">
        <f>1+COUNTIF(bounds,"&lt;"&amp;ROUND(AD5,12))</f>
        <v/>
      </c>
    </row>
    <row r="6">
      <c r="A6" t="inlineStr">
        <is>
          <t>PL</t>
        </is>
      </c>
      <c r="B6">
        <f>IF(Processing_data!$AB$4="","",MIN(1,MAX(0,(Processing_data!$AB$4-Processing_data!$AL$4)/(Processing_data!$AJ$4-Processing_data!$AL$4))))</f>
        <v/>
      </c>
      <c r="C6">
        <f>IF(Processing_data!$AB$5="","",MIN(1,MAX(0,(Processing_data!$AB$5-Processing_data!$AL$5)/(Processing_data!$AJ$5-Processing_data!$AL$5))))</f>
        <v/>
      </c>
      <c r="D6">
        <f>IF(Processing_data!$AB$6="","",MIN(1,MAX(0,(Processing_data!$AB$6-Processing_data!$AL$6)/(Processing_data!$AJ$6-Processing_data!$AL$6))))</f>
        <v/>
      </c>
      <c r="E6">
        <f>IF(Processing_data!$AB$7="","",MIN(1,MAX(0,(Processing_data!$AB$7-Processing_data!$AL$7)/(Processing_data!$AJ$7-Processing_data!$AL$7))))</f>
        <v/>
      </c>
      <c r="F6">
        <f>IF(Processing_data!$AB$8="","",MIN(1,MAX(0,(Processing_data!$AB$8-Processing_data!$AL$8)/(Processing_data!$AJ$8-Processing_data!$AL$8))))</f>
        <v/>
      </c>
      <c r="G6">
        <f>IF(Processing_data!$AB$9="","",MIN(1,MAX(0,(Processing_data!$AB$9-Processing_data!$AL$9)/(Processing_data!$AJ$9-Processing_data!$AL$9))))</f>
        <v/>
      </c>
      <c r="H6">
        <f>IF(Processing_data!$AB$10="","",MIN(1,MAX(0,(Processing_data!$AB$10-Processing_data!$AL$10)/(Processing_data!$AJ$10-Processing_data!$AL$10))))</f>
        <v/>
      </c>
      <c r="I6">
        <f>IF(Processing_data!$AB$11="","",MIN(1,MAX(0,(Processing_data!$AB$11-Processing_data!$AL$11)/(Processing_data!$AJ$11-Processing_data!$AL$11))))</f>
        <v/>
      </c>
      <c r="J6">
        <f>IF(Processing_data!$AB$12="","",MIN(1,MAX(0,(Processing_data!$AB$12-Processing_data!$AL$12)/(Processing_data!$AJ$12-Processing_data!$AL$12))))</f>
        <v/>
      </c>
      <c r="K6">
        <f>IF(Processing_data!$AB$13="","",MIN(1,MAX(0,(Processing_data!$AB$13-Processing_data!$AL$13)/(Processing_data!$AJ$13-Processing_data!$AL$13))))</f>
        <v/>
      </c>
      <c r="L6">
        <f>IF(Processing_data!$AB$14="","",MIN(1,MAX(0,(Processing_data!$AB$14-Processing_data!$AL$14)/(Processing_data!$AJ$14-Processing_data!$AL$14))))</f>
        <v/>
      </c>
      <c r="M6">
        <f>IF(Processing_data!$AB$15="","",MIN(1,MAX(0,(Processing_data!$AB$15-Processing_data!$AL$15)/(Processing_data!$AJ$15-Processing_data!$AL$15))))</f>
        <v/>
      </c>
      <c r="N6">
        <f>IF(Processing_data!$AB$16="","",MIN(1,MAX(0,(Processing_data!$AB$16-Processing_data!$AL$16)/(Processing_data!$AJ$16-Processing_data!$AL$16))))</f>
        <v/>
      </c>
      <c r="O6">
        <f>IF(Processing_data!$AB$17="","",MIN(1,MAX(0,(Processing_data!$AB$17-Processing_data!$AL$17)/(Processing_data!$AJ$17-Processing_data!$AL$17))))</f>
        <v/>
      </c>
      <c r="P6">
        <f>IF(Processing_data!$AB$18="","",MIN(1,MAX(0,(Processing_data!$AB$18-Processing_data!$AL$18)/(Processing_data!$AJ$18-Processing_data!$AL$18))))</f>
        <v/>
      </c>
      <c r="Q6">
        <f>IF(Processing_data!$AB$19="","",MIN(1,MAX(0,(Processing_data!$AB$19-Processing_data!$AL$19)/(Processing_data!$AJ$19-Processing_data!$AL$19))))</f>
        <v/>
      </c>
      <c r="R6">
        <f>IF(Processing_data!$AB$20="","",MIN(1,MAX(0,(Processing_data!$AB$20-Processing_data!$AL$20)/(Processing_data!$AJ$20-Processing_data!$AL$20))))</f>
        <v/>
      </c>
      <c r="S6">
        <f>AVERAGE(B6:D6)</f>
        <v/>
      </c>
      <c r="T6">
        <f>AVERAGE(E6:F6)</f>
        <v/>
      </c>
      <c r="U6">
        <f>AVERAGE(G6:I6)</f>
        <v/>
      </c>
      <c r="V6">
        <f>AVERAGE(J6:K6)</f>
        <v/>
      </c>
      <c r="W6">
        <f>AVERAGE(L6:N6)</f>
        <v/>
      </c>
      <c r="X6">
        <f>AVERAGE(O6:P6)</f>
        <v/>
      </c>
      <c r="Y6">
        <f>AVERAGE(Q6:R6)</f>
        <v/>
      </c>
      <c r="Z6">
        <f>AVERAGE(S6:W6)</f>
        <v/>
      </c>
      <c r="AA6">
        <f>MIN(S6:W6)</f>
        <v/>
      </c>
      <c r="AB6">
        <f>INDEX($S$3:$W$3,MATCH(AA6,S6:W6,0))</f>
        <v/>
      </c>
      <c r="AC6">
        <f>1-alpha*MAX(0,delta-AA6)</f>
        <v/>
      </c>
      <c r="AD6">
        <f>Z6*AC6</f>
        <v/>
      </c>
      <c r="AE6">
        <f>1+COUNTIF(bounds,"&lt;"&amp;ROUND(AD6,12))</f>
        <v/>
      </c>
      <c r="AF6">
        <f>1+COUNTIF($AD$6:$AD$15,"&gt;"&amp;AD6)</f>
        <v/>
      </c>
    </row>
    <row r="7">
      <c r="A7" t="inlineStr">
        <is>
          <t>HU</t>
        </is>
      </c>
      <c r="B7">
        <f>IF(Processing_data!$T$4="","",MIN(1,MAX(0,(Processing_data!$T$4-Processing_data!$AL$4)/(Processing_data!$AJ$4-Processing_data!$AL$4))))</f>
        <v/>
      </c>
      <c r="C7">
        <f>IF(Processing_data!$T$5="","",MIN(1,MAX(0,(Processing_data!$T$5-Processing_data!$AL$5)/(Processing_data!$AJ$5-Processing_data!$AL$5))))</f>
        <v/>
      </c>
      <c r="D7">
        <f>IF(Processing_data!$T$6="","",MIN(1,MAX(0,(Processing_data!$T$6-Processing_data!$AL$6)/(Processing_data!$AJ$6-Processing_data!$AL$6))))</f>
        <v/>
      </c>
      <c r="E7">
        <f>IF(Processing_data!$T$7="","",MIN(1,MAX(0,(Processing_data!$T$7-Processing_data!$AL$7)/(Processing_data!$AJ$7-Processing_data!$AL$7))))</f>
        <v/>
      </c>
      <c r="F7">
        <f>IF(Processing_data!$T$8="","",MIN(1,MAX(0,(Processing_data!$T$8-Processing_data!$AL$8)/(Processing_data!$AJ$8-Processing_data!$AL$8))))</f>
        <v/>
      </c>
      <c r="G7">
        <f>IF(Processing_data!$T$9="","",MIN(1,MAX(0,(Processing_data!$T$9-Processing_data!$AL$9)/(Processing_data!$AJ$9-Processing_data!$AL$9))))</f>
        <v/>
      </c>
      <c r="H7">
        <f>IF(Processing_data!$T$10="","",MIN(1,MAX(0,(Processing_data!$T$10-Processing_data!$AL$10)/(Processing_data!$AJ$10-Processing_data!$AL$10))))</f>
        <v/>
      </c>
      <c r="I7">
        <f>IF(Processing_data!$T$11="","",MIN(1,MAX(0,(Processing_data!$T$11-Processing_data!$AL$11)/(Processing_data!$AJ$11-Processing_data!$AL$11))))</f>
        <v/>
      </c>
      <c r="J7">
        <f>IF(Processing_data!$T$12="","",MIN(1,MAX(0,(Processing_data!$T$12-Processing_data!$AL$12)/(Processing_data!$AJ$12-Processing_data!$AL$12))))</f>
        <v/>
      </c>
      <c r="K7">
        <f>IF(Processing_data!$T$13="","",MIN(1,MAX(0,(Processing_data!$T$13-Processing_data!$AL$13)/(Processing_data!$AJ$13-Processing_data!$AL$13))))</f>
        <v/>
      </c>
      <c r="L7">
        <f>IF(Processing_data!$T$14="","",MIN(1,MAX(0,(Processing_data!$T$14-Processing_data!$AL$14)/(Processing_data!$AJ$14-Processing_data!$AL$14))))</f>
        <v/>
      </c>
      <c r="M7">
        <f>IF(Processing_data!$T$15="","",MIN(1,MAX(0,(Processing_data!$T$15-Processing_data!$AL$15)/(Processing_data!$AJ$15-Processing_data!$AL$15))))</f>
        <v/>
      </c>
      <c r="N7">
        <f>IF(Processing_data!$T$16="","",MIN(1,MAX(0,(Processing_data!$T$16-Processing_data!$AL$16)/(Processing_data!$AJ$16-Processing_data!$AL$16))))</f>
        <v/>
      </c>
      <c r="O7">
        <f>IF(Processing_data!$T$17="","",MIN(1,MAX(0,(Processing_data!$T$17-Processing_data!$AL$17)/(Processing_data!$AJ$17-Processing_data!$AL$17))))</f>
        <v/>
      </c>
      <c r="P7">
        <f>IF(Processing_data!$T$18="","",MIN(1,MAX(0,(Processing_data!$T$18-Processing_data!$AL$18)/(Processing_data!$AJ$18-Processing_data!$AL$18))))</f>
        <v/>
      </c>
      <c r="Q7">
        <f>IF(Processing_data!$T$19="","",MIN(1,MAX(0,(Processing_data!$T$19-Processing_data!$AL$19)/(Processing_data!$AJ$19-Processing_data!$AL$19))))</f>
        <v/>
      </c>
      <c r="R7">
        <f>IF(Processing_data!$T$20="","",MIN(1,MAX(0,(Processing_data!$T$20-Processing_data!$AL$20)/(Processing_data!$AJ$20-Processing_data!$AL$20))))</f>
        <v/>
      </c>
      <c r="S7">
        <f>AVERAGE(B7:D7)</f>
        <v/>
      </c>
      <c r="T7">
        <f>AVERAGE(E7:F7)</f>
        <v/>
      </c>
      <c r="U7">
        <f>AVERAGE(G7:I7)</f>
        <v/>
      </c>
      <c r="V7">
        <f>AVERAGE(J7:K7)</f>
        <v/>
      </c>
      <c r="W7">
        <f>AVERAGE(L7:N7)</f>
        <v/>
      </c>
      <c r="X7">
        <f>AVERAGE(O7:P7)</f>
        <v/>
      </c>
      <c r="Y7">
        <f>AVERAGE(Q7:R7)</f>
        <v/>
      </c>
      <c r="Z7">
        <f>AVERAGE(S7:W7)</f>
        <v/>
      </c>
      <c r="AA7">
        <f>MIN(S7:W7)</f>
        <v/>
      </c>
      <c r="AB7">
        <f>INDEX($S$3:$W$3,MATCH(AA7,S7:W7,0))</f>
        <v/>
      </c>
      <c r="AC7">
        <f>1-alpha*MAX(0,delta-AA7)</f>
        <v/>
      </c>
      <c r="AD7">
        <f>Z7*AC7</f>
        <v/>
      </c>
      <c r="AE7">
        <f>1+COUNTIF(bounds,"&lt;"&amp;ROUND(AD7,12))</f>
        <v/>
      </c>
      <c r="AF7">
        <f>1+COUNTIF($AD$6:$AD$15,"&gt;"&amp;AD7)</f>
        <v/>
      </c>
    </row>
    <row r="8">
      <c r="A8" t="inlineStr">
        <is>
          <t>RO</t>
        </is>
      </c>
      <c r="B8">
        <f>IF(Processing_data!$AD$4="","",MIN(1,MAX(0,(Processing_data!$AD$4-Processing_data!$AL$4)/(Processing_data!$AJ$4-Processing_data!$AL$4))))</f>
        <v/>
      </c>
      <c r="C8">
        <f>IF(Processing_data!$AD$5="","",MIN(1,MAX(0,(Processing_data!$AD$5-Processing_data!$AL$5)/(Processing_data!$AJ$5-Processing_data!$AL$5))))</f>
        <v/>
      </c>
      <c r="D8">
        <f>IF(Processing_data!$AD$6="","",MIN(1,MAX(0,(Processing_data!$AD$6-Processing_data!$AL$6)/(Processing_data!$AJ$6-Processing_data!$AL$6))))</f>
        <v/>
      </c>
      <c r="E8">
        <f>IF(Processing_data!$AD$7="","",MIN(1,MAX(0,(Processing_data!$AD$7-Processing_data!$AL$7)/(Processing_data!$AJ$7-Processing_data!$AL$7))))</f>
        <v/>
      </c>
      <c r="F8">
        <f>IF(Processing_data!$AD$8="","",MIN(1,MAX(0,(Processing_data!$AD$8-Processing_data!$AL$8)/(Processing_data!$AJ$8-Processing_data!$AL$8))))</f>
        <v/>
      </c>
      <c r="G8">
        <f>IF(Processing_data!$AD$9="","",MIN(1,MAX(0,(Processing_data!$AD$9-Processing_data!$AL$9)/(Processing_data!$AJ$9-Processing_data!$AL$9))))</f>
        <v/>
      </c>
      <c r="H8">
        <f>IF(Processing_data!$AD$10="","",MIN(1,MAX(0,(Processing_data!$AD$10-Processing_data!$AL$10)/(Processing_data!$AJ$10-Processing_data!$AL$10))))</f>
        <v/>
      </c>
      <c r="I8">
        <f>IF(Processing_data!$AD$11="","",MIN(1,MAX(0,(Processing_data!$AD$11-Processing_data!$AL$11)/(Processing_data!$AJ$11-Processing_data!$AL$11))))</f>
        <v/>
      </c>
      <c r="J8">
        <f>IF(Processing_data!$AD$12="","",MIN(1,MAX(0,(Processing_data!$AD$12-Processing_data!$AL$12)/(Processing_data!$AJ$12-Processing_data!$AL$12))))</f>
        <v/>
      </c>
      <c r="K8">
        <f>IF(Processing_data!$AD$13="","",MIN(1,MAX(0,(Processing_data!$AD$13-Processing_data!$AL$13)/(Processing_data!$AJ$13-Processing_data!$AL$13))))</f>
        <v/>
      </c>
      <c r="L8">
        <f>IF(Processing_data!$AD$14="","",MIN(1,MAX(0,(Processing_data!$AD$14-Processing_data!$AL$14)/(Processing_data!$AJ$14-Processing_data!$AL$14))))</f>
        <v/>
      </c>
      <c r="M8">
        <f>IF(Processing_data!$AD$15="","",MIN(1,MAX(0,(Processing_data!$AD$15-Processing_data!$AL$15)/(Processing_data!$AJ$15-Processing_data!$AL$15))))</f>
        <v/>
      </c>
      <c r="N8">
        <f>IF(Processing_data!$AD$16="","",MIN(1,MAX(0,(Processing_data!$AD$16-Processing_data!$AL$16)/(Processing_data!$AJ$16-Processing_data!$AL$16))))</f>
        <v/>
      </c>
      <c r="O8">
        <f>IF(Processing_data!$AD$17="","",MIN(1,MAX(0,(Processing_data!$AD$17-Processing_data!$AL$17)/(Processing_data!$AJ$17-Processing_data!$AL$17))))</f>
        <v/>
      </c>
      <c r="P8">
        <f>IF(Processing_data!$AD$18="","",MIN(1,MAX(0,(Processing_data!$AD$18-Processing_data!$AL$18)/(Processing_data!$AJ$18-Processing_data!$AL$18))))</f>
        <v/>
      </c>
      <c r="Q8">
        <f>IF(Processing_data!$AD$19="","",MIN(1,MAX(0,(Processing_data!$AD$19-Processing_data!$AL$19)/(Processing_data!$AJ$19-Processing_data!$AL$19))))</f>
        <v/>
      </c>
      <c r="R8">
        <f>IF(Processing_data!$AD$20="","",MIN(1,MAX(0,(Processing_data!$AD$20-Processing_data!$AL$20)/(Processing_data!$AJ$20-Processing_data!$AL$20))))</f>
        <v/>
      </c>
      <c r="S8">
        <f>AVERAGE(B8:D8)</f>
        <v/>
      </c>
      <c r="T8">
        <f>AVERAGE(E8:F8)</f>
        <v/>
      </c>
      <c r="U8">
        <f>AVERAGE(G8:I8)</f>
        <v/>
      </c>
      <c r="V8">
        <f>AVERAGE(J8:K8)</f>
        <v/>
      </c>
      <c r="W8">
        <f>AVERAGE(L8:N8)</f>
        <v/>
      </c>
      <c r="X8">
        <f>AVERAGE(O8:P8)</f>
        <v/>
      </c>
      <c r="Y8">
        <f>AVERAGE(Q8:R8)</f>
        <v/>
      </c>
      <c r="Z8">
        <f>AVERAGE(S8:W8)</f>
        <v/>
      </c>
      <c r="AA8">
        <f>MIN(S8:W8)</f>
        <v/>
      </c>
      <c r="AB8">
        <f>INDEX($S$3:$W$3,MATCH(AA8,S8:W8,0))</f>
        <v/>
      </c>
      <c r="AC8">
        <f>1-alpha*MAX(0,delta-AA8)</f>
        <v/>
      </c>
      <c r="AD8">
        <f>Z8*AC8</f>
        <v/>
      </c>
      <c r="AE8">
        <f>1+COUNTIF(bounds,"&lt;"&amp;ROUND(AD8,12))</f>
        <v/>
      </c>
      <c r="AF8">
        <f>1+COUNTIF($AD$6:$AD$15,"&gt;"&amp;AD8)</f>
        <v/>
      </c>
    </row>
    <row r="9">
      <c r="A9" t="inlineStr">
        <is>
          <t>CZ</t>
        </is>
      </c>
      <c r="B9">
        <f>IF(Processing_data!$K$4="","",MIN(1,MAX(0,(Processing_data!$K$4-Processing_data!$AL$4)/(Processing_data!$AJ$4-Processing_data!$AL$4))))</f>
        <v/>
      </c>
      <c r="C9">
        <f>IF(Processing_data!$K$5="","",MIN(1,MAX(0,(Processing_data!$K$5-Processing_data!$AL$5)/(Processing_data!$AJ$5-Processing_data!$AL$5))))</f>
        <v/>
      </c>
      <c r="D9">
        <f>IF(Processing_data!$K$6="","",MIN(1,MAX(0,(Processing_data!$K$6-Processing_data!$AL$6)/(Processing_data!$AJ$6-Processing_data!$AL$6))))</f>
        <v/>
      </c>
      <c r="E9">
        <f>IF(Processing_data!$K$7="","",MIN(1,MAX(0,(Processing_data!$K$7-Processing_data!$AL$7)/(Processing_data!$AJ$7-Processing_data!$AL$7))))</f>
        <v/>
      </c>
      <c r="F9">
        <f>IF(Processing_data!$K$8="","",MIN(1,MAX(0,(Processing_data!$K$8-Processing_data!$AL$8)/(Processing_data!$AJ$8-Processing_data!$AL$8))))</f>
        <v/>
      </c>
      <c r="G9">
        <f>IF(Processing_data!$K$9="","",MIN(1,MAX(0,(Processing_data!$K$9-Processing_data!$AL$9)/(Processing_data!$AJ$9-Processing_data!$AL$9))))</f>
        <v/>
      </c>
      <c r="H9">
        <f>IF(Processing_data!$K$10="","",MIN(1,MAX(0,(Processing_data!$K$10-Processing_data!$AL$10)/(Processing_data!$AJ$10-Processing_data!$AL$10))))</f>
        <v/>
      </c>
      <c r="I9">
        <f>IF(Processing_data!$K$11="","",MIN(1,MAX(0,(Processing_data!$K$11-Processing_data!$AL$11)/(Processing_data!$AJ$11-Processing_data!$AL$11))))</f>
        <v/>
      </c>
      <c r="J9">
        <f>IF(Processing_data!$K$12="","",MIN(1,MAX(0,(Processing_data!$K$12-Processing_data!$AL$12)/(Processing_data!$AJ$12-Processing_data!$AL$12))))</f>
        <v/>
      </c>
      <c r="K9">
        <f>IF(Processing_data!$K$13="","",MIN(1,MAX(0,(Processing_data!$K$13-Processing_data!$AL$13)/(Processing_data!$AJ$13-Processing_data!$AL$13))))</f>
        <v/>
      </c>
      <c r="L9">
        <f>IF(Processing_data!$K$14="","",MIN(1,MAX(0,(Processing_data!$K$14-Processing_data!$AL$14)/(Processing_data!$AJ$14-Processing_data!$AL$14))))</f>
        <v/>
      </c>
      <c r="M9">
        <f>IF(Processing_data!$K$15="","",MIN(1,MAX(0,(Processing_data!$K$15-Processing_data!$AL$15)/(Processing_data!$AJ$15-Processing_data!$AL$15))))</f>
        <v/>
      </c>
      <c r="N9">
        <f>IF(Processing_data!$K$16="","",MIN(1,MAX(0,(Processing_data!$K$16-Processing_data!$AL$16)/(Processing_data!$AJ$16-Processing_data!$AL$16))))</f>
        <v/>
      </c>
      <c r="O9">
        <f>IF(Processing_data!$K$17="","",MIN(1,MAX(0,(Processing_data!$K$17-Processing_data!$AL$17)/(Processing_data!$AJ$17-Processing_data!$AL$17))))</f>
        <v/>
      </c>
      <c r="P9">
        <f>IF(Processing_data!$K$18="","",MIN(1,MAX(0,(Processing_data!$K$18-Processing_data!$AL$18)/(Processing_data!$AJ$18-Processing_data!$AL$18))))</f>
        <v/>
      </c>
      <c r="Q9">
        <f>IF(Processing_data!$K$19="","",MIN(1,MAX(0,(Processing_data!$K$19-Processing_data!$AL$19)/(Processing_data!$AJ$19-Processing_data!$AL$19))))</f>
        <v/>
      </c>
      <c r="R9">
        <f>IF(Processing_data!$K$20="","",MIN(1,MAX(0,(Processing_data!$K$20-Processing_data!$AL$20)/(Processing_data!$AJ$20-Processing_data!$AL$20))))</f>
        <v/>
      </c>
      <c r="S9">
        <f>AVERAGE(B9:D9)</f>
        <v/>
      </c>
      <c r="T9">
        <f>AVERAGE(E9:F9)</f>
        <v/>
      </c>
      <c r="U9">
        <f>AVERAGE(G9:I9)</f>
        <v/>
      </c>
      <c r="V9">
        <f>AVERAGE(J9:K9)</f>
        <v/>
      </c>
      <c r="W9">
        <f>AVERAGE(L9:N9)</f>
        <v/>
      </c>
      <c r="X9">
        <f>AVERAGE(O9:P9)</f>
        <v/>
      </c>
      <c r="Y9">
        <f>AVERAGE(Q9:R9)</f>
        <v/>
      </c>
      <c r="Z9">
        <f>AVERAGE(S9:W9)</f>
        <v/>
      </c>
      <c r="AA9">
        <f>MIN(S9:W9)</f>
        <v/>
      </c>
      <c r="AB9">
        <f>INDEX($S$3:$W$3,MATCH(AA9,S9:W9,0))</f>
        <v/>
      </c>
      <c r="AC9">
        <f>1-alpha*MAX(0,delta-AA9)</f>
        <v/>
      </c>
      <c r="AD9">
        <f>Z9*AC9</f>
        <v/>
      </c>
      <c r="AE9">
        <f>1+COUNTIF(bounds,"&lt;"&amp;ROUND(AD9,12))</f>
        <v/>
      </c>
      <c r="AF9">
        <f>1+COUNTIF($AD$6:$AD$15,"&gt;"&amp;AD9)</f>
        <v/>
      </c>
    </row>
    <row r="10">
      <c r="A10" t="inlineStr">
        <is>
          <t>SK</t>
        </is>
      </c>
      <c r="B10">
        <f>IF(Processing_data!$AG$4="","",MIN(1,MAX(0,(Processing_data!$AG$4-Processing_data!$AL$4)/(Processing_data!$AJ$4-Processing_data!$AL$4))))</f>
        <v/>
      </c>
      <c r="C10">
        <f>IF(Processing_data!$AG$5="","",MIN(1,MAX(0,(Processing_data!$AG$5-Processing_data!$AL$5)/(Processing_data!$AJ$5-Processing_data!$AL$5))))</f>
        <v/>
      </c>
      <c r="D10">
        <f>IF(Processing_data!$AG$6="","",MIN(1,MAX(0,(Processing_data!$AG$6-Processing_data!$AL$6)/(Processing_data!$AJ$6-Processing_data!$AL$6))))</f>
        <v/>
      </c>
      <c r="E10">
        <f>IF(Processing_data!$AG$7="","",MIN(1,MAX(0,(Processing_data!$AG$7-Processing_data!$AL$7)/(Processing_data!$AJ$7-Processing_data!$AL$7))))</f>
        <v/>
      </c>
      <c r="F10">
        <f>IF(Processing_data!$AG$8="","",MIN(1,MAX(0,(Processing_data!$AG$8-Processing_data!$AL$8)/(Processing_data!$AJ$8-Processing_data!$AL$8))))</f>
        <v/>
      </c>
      <c r="G10">
        <f>IF(Processing_data!$AG$9="","",MIN(1,MAX(0,(Processing_data!$AG$9-Processing_data!$AL$9)/(Processing_data!$AJ$9-Processing_data!$AL$9))))</f>
        <v/>
      </c>
      <c r="H10">
        <f>IF(Processing_data!$AG$10="","",MIN(1,MAX(0,(Processing_data!$AG$10-Processing_data!$AL$10)/(Processing_data!$AJ$10-Processing_data!$AL$10))))</f>
        <v/>
      </c>
      <c r="I10">
        <f>IF(Processing_data!$AG$11="","",MIN(1,MAX(0,(Processing_data!$AG$11-Processing_data!$AL$11)/(Processing_data!$AJ$11-Processing_data!$AL$11))))</f>
        <v/>
      </c>
      <c r="J10">
        <f>IF(Processing_data!$AG$12="","",MIN(1,MAX(0,(Processing_data!$AG$12-Processing_data!$AL$12)/(Processing_data!$AJ$12-Processing_data!$AL$12))))</f>
        <v/>
      </c>
      <c r="K10">
        <f>IF(Processing_data!$AG$13="","",MIN(1,MAX(0,(Processing_data!$AG$13-Processing_data!$AL$13)/(Processing_data!$AJ$13-Processing_data!$AL$13))))</f>
        <v/>
      </c>
      <c r="L10">
        <f>IF(Processing_data!$AG$14="","",MIN(1,MAX(0,(Processing_data!$AG$14-Processing_data!$AL$14)/(Processing_data!$AJ$14-Processing_data!$AL$14))))</f>
        <v/>
      </c>
      <c r="M10">
        <f>IF(Processing_data!$AG$15="","",MIN(1,MAX(0,(Processing_data!$AG$15-Processing_data!$AL$15)/(Processing_data!$AJ$15-Processing_data!$AL$15))))</f>
        <v/>
      </c>
      <c r="N10">
        <f>IF(Processing_data!$AG$16="","",MIN(1,MAX(0,(Processing_data!$AG$16-Processing_data!$AL$16)/(Processing_data!$AJ$16-Processing_data!$AL$16))))</f>
        <v/>
      </c>
      <c r="O10">
        <f>IF(Processing_data!$AG$17="","",MIN(1,MAX(0,(Processing_data!$AG$17-Processing_data!$AL$17)/(Processing_data!$AJ$17-Processing_data!$AL$17))))</f>
        <v/>
      </c>
      <c r="P10">
        <f>IF(Processing_data!$AG$18="","",MIN(1,MAX(0,(Processing_data!$AG$18-Processing_data!$AL$18)/(Processing_data!$AJ$18-Processing_data!$AL$18))))</f>
        <v/>
      </c>
      <c r="Q10">
        <f>IF(Processing_data!$AG$19="","",MIN(1,MAX(0,(Processing_data!$AG$19-Processing_data!$AL$19)/(Processing_data!$AJ$19-Processing_data!$AL$19))))</f>
        <v/>
      </c>
      <c r="R10">
        <f>IF(Processing_data!$AG$20="","",MIN(1,MAX(0,(Processing_data!$AG$20-Processing_data!$AL$20)/(Processing_data!$AJ$20-Processing_data!$AL$20))))</f>
        <v/>
      </c>
      <c r="S10">
        <f>AVERAGE(B10:D10)</f>
        <v/>
      </c>
      <c r="T10">
        <f>AVERAGE(E10:F10)</f>
        <v/>
      </c>
      <c r="U10">
        <f>AVERAGE(G10:I10)</f>
        <v/>
      </c>
      <c r="V10">
        <f>AVERAGE(J10:K10)</f>
        <v/>
      </c>
      <c r="W10">
        <f>AVERAGE(L10:N10)</f>
        <v/>
      </c>
      <c r="X10">
        <f>AVERAGE(O10:P10)</f>
        <v/>
      </c>
      <c r="Y10">
        <f>AVERAGE(Q10:R10)</f>
        <v/>
      </c>
      <c r="Z10">
        <f>AVERAGE(S10:W10)</f>
        <v/>
      </c>
      <c r="AA10">
        <f>MIN(S10:W10)</f>
        <v/>
      </c>
      <c r="AB10">
        <f>INDEX($S$3:$W$3,MATCH(AA10,S10:W10,0))</f>
        <v/>
      </c>
      <c r="AC10">
        <f>1-alpha*MAX(0,delta-AA10)</f>
        <v/>
      </c>
      <c r="AD10">
        <f>Z10*AC10</f>
        <v/>
      </c>
      <c r="AE10">
        <f>1+COUNTIF(bounds,"&lt;"&amp;ROUND(AD10,12))</f>
        <v/>
      </c>
      <c r="AF10">
        <f>1+COUNTIF($AD$6:$AD$15,"&gt;"&amp;AD10)</f>
        <v/>
      </c>
    </row>
    <row r="11">
      <c r="A11" t="inlineStr">
        <is>
          <t>LT</t>
        </is>
      </c>
      <c r="B11">
        <f>IF(Processing_data!$W$4="","",MIN(1,MAX(0,(Processing_data!$W$4-Processing_data!$AL$4)/(Processing_data!$AJ$4-Processing_data!$AL$4))))</f>
        <v/>
      </c>
      <c r="C11">
        <f>IF(Processing_data!$W$5="","",MIN(1,MAX(0,(Processing_data!$W$5-Processing_data!$AL$5)/(Processing_data!$AJ$5-Processing_data!$AL$5))))</f>
        <v/>
      </c>
      <c r="D11">
        <f>IF(Processing_data!$W$6="","",MIN(1,MAX(0,(Processing_data!$W$6-Processing_data!$AL$6)/(Processing_data!$AJ$6-Processing_data!$AL$6))))</f>
        <v/>
      </c>
      <c r="E11">
        <f>IF(Processing_data!$W$7="","",MIN(1,MAX(0,(Processing_data!$W$7-Processing_data!$AL$7)/(Processing_data!$AJ$7-Processing_data!$AL$7))))</f>
        <v/>
      </c>
      <c r="F11">
        <f>IF(Processing_data!$W$8="","",MIN(1,MAX(0,(Processing_data!$W$8-Processing_data!$AL$8)/(Processing_data!$AJ$8-Processing_data!$AL$8))))</f>
        <v/>
      </c>
      <c r="G11">
        <f>IF(Processing_data!$W$9="","",MIN(1,MAX(0,(Processing_data!$W$9-Processing_data!$AL$9)/(Processing_data!$AJ$9-Processing_data!$AL$9))))</f>
        <v/>
      </c>
      <c r="H11">
        <f>IF(Processing_data!$W$10="","",MIN(1,MAX(0,(Processing_data!$W$10-Processing_data!$AL$10)/(Processing_data!$AJ$10-Processing_data!$AL$10))))</f>
        <v/>
      </c>
      <c r="I11">
        <f>IF(Processing_data!$W$11="","",MIN(1,MAX(0,(Processing_data!$W$11-Processing_data!$AL$11)/(Processing_data!$AJ$11-Processing_data!$AL$11))))</f>
        <v/>
      </c>
      <c r="J11">
        <f>IF(Processing_data!$W$12="","",MIN(1,MAX(0,(Processing_data!$W$12-Processing_data!$AL$12)/(Processing_data!$AJ$12-Processing_data!$AL$12))))</f>
        <v/>
      </c>
      <c r="K11">
        <f>IF(Processing_data!$W$13="","",MIN(1,MAX(0,(Processing_data!$W$13-Processing_data!$AL$13)/(Processing_data!$AJ$13-Processing_data!$AL$13))))</f>
        <v/>
      </c>
      <c r="L11">
        <f>IF(Processing_data!$W$14="","",MIN(1,MAX(0,(Processing_data!$W$14-Processing_data!$AL$14)/(Processing_data!$AJ$14-Processing_data!$AL$14))))</f>
        <v/>
      </c>
      <c r="M11">
        <f>IF(Processing_data!$W$15="","",MIN(1,MAX(0,(Processing_data!$W$15-Processing_data!$AL$15)/(Processing_data!$AJ$15-Processing_data!$AL$15))))</f>
        <v/>
      </c>
      <c r="N11">
        <f>IF(Processing_data!$W$16="","",MIN(1,MAX(0,(Processing_data!$W$16-Processing_data!$AL$16)/(Processing_data!$AJ$16-Processing_data!$AL$16))))</f>
        <v/>
      </c>
      <c r="O11">
        <f>IF(Processing_data!$W$17="","",MIN(1,MAX(0,(Processing_data!$W$17-Processing_data!$AL$17)/(Processing_data!$AJ$17-Processing_data!$AL$17))))</f>
        <v/>
      </c>
      <c r="P11">
        <f>IF(Processing_data!$W$18="","",MIN(1,MAX(0,(Processing_data!$W$18-Processing_data!$AL$18)/(Processing_data!$AJ$18-Processing_data!$AL$18))))</f>
        <v/>
      </c>
      <c r="Q11">
        <f>IF(Processing_data!$W$19="","",MIN(1,MAX(0,(Processing_data!$W$19-Processing_data!$AL$19)/(Processing_data!$AJ$19-Processing_data!$AL$19))))</f>
        <v/>
      </c>
      <c r="R11">
        <f>IF(Processing_data!$W$20="","",MIN(1,MAX(0,(Processing_data!$W$20-Processing_data!$AL$20)/(Processing_data!$AJ$20-Processing_data!$AL$20))))</f>
        <v/>
      </c>
      <c r="S11">
        <f>AVERAGE(B11:D11)</f>
        <v/>
      </c>
      <c r="T11">
        <f>AVERAGE(E11:F11)</f>
        <v/>
      </c>
      <c r="U11">
        <f>AVERAGE(G11:I11)</f>
        <v/>
      </c>
      <c r="V11">
        <f>AVERAGE(J11:K11)</f>
        <v/>
      </c>
      <c r="W11">
        <f>AVERAGE(L11:N11)</f>
        <v/>
      </c>
      <c r="X11">
        <f>AVERAGE(O11:P11)</f>
        <v/>
      </c>
      <c r="Y11">
        <f>AVERAGE(Q11:R11)</f>
        <v/>
      </c>
      <c r="Z11">
        <f>AVERAGE(S11:W11)</f>
        <v/>
      </c>
      <c r="AA11">
        <f>MIN(S11:W11)</f>
        <v/>
      </c>
      <c r="AB11">
        <f>INDEX($S$3:$W$3,MATCH(AA11,S11:W11,0))</f>
        <v/>
      </c>
      <c r="AC11">
        <f>1-alpha*MAX(0,delta-AA11)</f>
        <v/>
      </c>
      <c r="AD11">
        <f>Z11*AC11</f>
        <v/>
      </c>
      <c r="AE11">
        <f>1+COUNTIF(bounds,"&lt;"&amp;ROUND(AD11,12))</f>
        <v/>
      </c>
      <c r="AF11">
        <f>1+COUNTIF($AD$6:$AD$15,"&gt;"&amp;AD11)</f>
        <v/>
      </c>
    </row>
    <row r="12">
      <c r="A12" t="inlineStr">
        <is>
          <t>LV</t>
        </is>
      </c>
      <c r="B12">
        <f>IF(Processing_data!$Y$4="","",MIN(1,MAX(0,(Processing_data!$Y$4-Processing_data!$AL$4)/(Processing_data!$AJ$4-Processing_data!$AL$4))))</f>
        <v/>
      </c>
      <c r="C12">
        <f>IF(Processing_data!$Y$5="","",MIN(1,MAX(0,(Processing_data!$Y$5-Processing_data!$AL$5)/(Processing_data!$AJ$5-Processing_data!$AL$5))))</f>
        <v/>
      </c>
      <c r="D12">
        <f>IF(Processing_data!$Y$6="","",MIN(1,MAX(0,(Processing_data!$Y$6-Processing_data!$AL$6)/(Processing_data!$AJ$6-Processing_data!$AL$6))))</f>
        <v/>
      </c>
      <c r="E12">
        <f>IF(Processing_data!$Y$7="","",MIN(1,MAX(0,(Processing_data!$Y$7-Processing_data!$AL$7)/(Processing_data!$AJ$7-Processing_data!$AL$7))))</f>
        <v/>
      </c>
      <c r="F12">
        <f>IF(Processing_data!$Y$8="","",MIN(1,MAX(0,(Processing_data!$Y$8-Processing_data!$AL$8)/(Processing_data!$AJ$8-Processing_data!$AL$8))))</f>
        <v/>
      </c>
      <c r="G12">
        <f>IF(Processing_data!$Y$9="","",MIN(1,MAX(0,(Processing_data!$Y$9-Processing_data!$AL$9)/(Processing_data!$AJ$9-Processing_data!$AL$9))))</f>
        <v/>
      </c>
      <c r="H12">
        <f>IF(Processing_data!$Y$10="","",MIN(1,MAX(0,(Processing_data!$Y$10-Processing_data!$AL$10)/(Processing_data!$AJ$10-Processing_data!$AL$10))))</f>
        <v/>
      </c>
      <c r="I12">
        <f>IF(Processing_data!$Y$11="","",MIN(1,MAX(0,(Processing_data!$Y$11-Processing_data!$AL$11)/(Processing_data!$AJ$11-Processing_data!$AL$11))))</f>
        <v/>
      </c>
      <c r="J12">
        <f>IF(Processing_data!$Y$12="","",MIN(1,MAX(0,(Processing_data!$Y$12-Processing_data!$AL$12)/(Processing_data!$AJ$12-Processing_data!$AL$12))))</f>
        <v/>
      </c>
      <c r="K12">
        <f>IF(Processing_data!$Y$13="","",MIN(1,MAX(0,(Processing_data!$Y$13-Processing_data!$AL$13)/(Processing_data!$AJ$13-Processing_data!$AL$13))))</f>
        <v/>
      </c>
      <c r="L12">
        <f>IF(Processing_data!$Y$14="","",MIN(1,MAX(0,(Processing_data!$Y$14-Processing_data!$AL$14)/(Processing_data!$AJ$14-Processing_data!$AL$14))))</f>
        <v/>
      </c>
      <c r="M12">
        <f>IF(Processing_data!$Y$15="","",MIN(1,MAX(0,(Processing_data!$Y$15-Processing_data!$AL$15)/(Processing_data!$AJ$15-Processing_data!$AL$15))))</f>
        <v/>
      </c>
      <c r="N12">
        <f>IF(Processing_data!$Y$16="","",MIN(1,MAX(0,(Processing_data!$Y$16-Processing_data!$AL$16)/(Processing_data!$AJ$16-Processing_data!$AL$16))))</f>
        <v/>
      </c>
      <c r="O12">
        <f>IF(Processing_data!$Y$17="","",MIN(1,MAX(0,(Processing_data!$Y$17-Processing_data!$AL$17)/(Processing_data!$AJ$17-Processing_data!$AL$17))))</f>
        <v/>
      </c>
      <c r="P12">
        <f>IF(Processing_data!$Y$18="","",MIN(1,MAX(0,(Processing_data!$Y$18-Processing_data!$AL$18)/(Processing_data!$AJ$18-Processing_data!$AL$18))))</f>
        <v/>
      </c>
      <c r="Q12">
        <f>IF(Processing_data!$Y$19="","",MIN(1,MAX(0,(Processing_data!$Y$19-Processing_data!$AL$19)/(Processing_data!$AJ$19-Processing_data!$AL$19))))</f>
        <v/>
      </c>
      <c r="R12">
        <f>IF(Processing_data!$Y$20="","",MIN(1,MAX(0,(Processing_data!$Y$20-Processing_data!$AL$20)/(Processing_data!$AJ$20-Processing_data!$AL$20))))</f>
        <v/>
      </c>
      <c r="S12">
        <f>AVERAGE(B12:D12)</f>
        <v/>
      </c>
      <c r="T12">
        <f>AVERAGE(E12:F12)</f>
        <v/>
      </c>
      <c r="U12">
        <f>AVERAGE(G12:I12)</f>
        <v/>
      </c>
      <c r="V12">
        <f>AVERAGE(J12:K12)</f>
        <v/>
      </c>
      <c r="W12">
        <f>AVERAGE(L12:N12)</f>
        <v/>
      </c>
      <c r="X12">
        <f>AVERAGE(O12:P12)</f>
        <v/>
      </c>
      <c r="Y12">
        <f>AVERAGE(Q12:R12)</f>
        <v/>
      </c>
      <c r="Z12">
        <f>AVERAGE(S12:W12)</f>
        <v/>
      </c>
      <c r="AA12">
        <f>MIN(S12:W12)</f>
        <v/>
      </c>
      <c r="AB12">
        <f>INDEX($S$3:$W$3,MATCH(AA12,S12:W12,0))</f>
        <v/>
      </c>
      <c r="AC12">
        <f>1-alpha*MAX(0,delta-AA12)</f>
        <v/>
      </c>
      <c r="AD12">
        <f>Z12*AC12</f>
        <v/>
      </c>
      <c r="AE12">
        <f>1+COUNTIF(bounds,"&lt;"&amp;ROUND(AD12,12))</f>
        <v/>
      </c>
      <c r="AF12">
        <f>1+COUNTIF($AD$6:$AD$15,"&gt;"&amp;AD12)</f>
        <v/>
      </c>
    </row>
    <row r="13">
      <c r="A13" t="inlineStr">
        <is>
          <t>EE</t>
        </is>
      </c>
      <c r="B13">
        <f>IF(Processing_data!$N$4="","",MIN(1,MAX(0,(Processing_data!$N$4-Processing_data!$AL$4)/(Processing_data!$AJ$4-Processing_data!$AL$4))))</f>
        <v/>
      </c>
      <c r="C13">
        <f>IF(Processing_data!$N$5="","",MIN(1,MAX(0,(Processing_data!$N$5-Processing_data!$AL$5)/(Processing_data!$AJ$5-Processing_data!$AL$5))))</f>
        <v/>
      </c>
      <c r="D13">
        <f>IF(Processing_data!$N$6="","",MIN(1,MAX(0,(Processing_data!$N$6-Processing_data!$AL$6)/(Processing_data!$AJ$6-Processing_data!$AL$6))))</f>
        <v/>
      </c>
      <c r="E13">
        <f>IF(Processing_data!$N$7="","",MIN(1,MAX(0,(Processing_data!$N$7-Processing_data!$AL$7)/(Processing_data!$AJ$7-Processing_data!$AL$7))))</f>
        <v/>
      </c>
      <c r="F13">
        <f>IF(Processing_data!$N$8="","",MIN(1,MAX(0,(Processing_data!$N$8-Processing_data!$AL$8)/(Processing_data!$AJ$8-Processing_data!$AL$8))))</f>
        <v/>
      </c>
      <c r="G13">
        <f>IF(Processing_data!$N$9="","",MIN(1,MAX(0,(Processing_data!$N$9-Processing_data!$AL$9)/(Processing_data!$AJ$9-Processing_data!$AL$9))))</f>
        <v/>
      </c>
      <c r="H13">
        <f>IF(Processing_data!$N$10="","",MIN(1,MAX(0,(Processing_data!$N$10-Processing_data!$AL$10)/(Processing_data!$AJ$10-Processing_data!$AL$10))))</f>
        <v/>
      </c>
      <c r="I13">
        <f>IF(Processing_data!$N$11="","",MIN(1,MAX(0,(Processing_data!$N$11-Processing_data!$AL$11)/(Processing_data!$AJ$11-Processing_data!$AL$11))))</f>
        <v/>
      </c>
      <c r="J13">
        <f>IF(Processing_data!$N$12="","",MIN(1,MAX(0,(Processing_data!$N$12-Processing_data!$AL$12)/(Processing_data!$AJ$12-Processing_data!$AL$12))))</f>
        <v/>
      </c>
      <c r="K13">
        <f>IF(Processing_data!$N$13="","",MIN(1,MAX(0,(Processing_data!$N$13-Processing_data!$AL$13)/(Processing_data!$AJ$13-Processing_data!$AL$13))))</f>
        <v/>
      </c>
      <c r="L13">
        <f>IF(Processing_data!$N$14="","",MIN(1,MAX(0,(Processing_data!$N$14-Processing_data!$AL$14)/(Processing_data!$AJ$14-Processing_data!$AL$14))))</f>
        <v/>
      </c>
      <c r="M13">
        <f>IF(Processing_data!$N$15="","",MIN(1,MAX(0,(Processing_data!$N$15-Processing_data!$AL$15)/(Processing_data!$AJ$15-Processing_data!$AL$15))))</f>
        <v/>
      </c>
      <c r="N13">
        <f>IF(Processing_data!$N$16="","",MIN(1,MAX(0,(Processing_data!$N$16-Processing_data!$AL$16)/(Processing_data!$AJ$16-Processing_data!$AL$16))))</f>
        <v/>
      </c>
      <c r="O13">
        <f>IF(Processing_data!$N$17="","",MIN(1,MAX(0,(Processing_data!$N$17-Processing_data!$AL$17)/(Processing_data!$AJ$17-Processing_data!$AL$17))))</f>
        <v/>
      </c>
      <c r="P13">
        <f>IF(Processing_data!$N$18="","",MIN(1,MAX(0,(Processing_data!$N$18-Processing_data!$AL$18)/(Processing_data!$AJ$18-Processing_data!$AL$18))))</f>
        <v/>
      </c>
      <c r="Q13">
        <f>IF(Processing_data!$N$19="","",MIN(1,MAX(0,(Processing_data!$N$19-Processing_data!$AL$19)/(Processing_data!$AJ$19-Processing_data!$AL$19))))</f>
        <v/>
      </c>
      <c r="R13">
        <f>IF(Processing_data!$N$20="","",MIN(1,MAX(0,(Processing_data!$N$20-Processing_data!$AL$20)/(Processing_data!$AJ$20-Processing_data!$AL$20))))</f>
        <v/>
      </c>
      <c r="S13">
        <f>AVERAGE(B13:D13)</f>
        <v/>
      </c>
      <c r="T13">
        <f>AVERAGE(E13:F13)</f>
        <v/>
      </c>
      <c r="U13">
        <f>AVERAGE(G13:I13)</f>
        <v/>
      </c>
      <c r="V13">
        <f>AVERAGE(J13:K13)</f>
        <v/>
      </c>
      <c r="W13">
        <f>AVERAGE(L13:N13)</f>
        <v/>
      </c>
      <c r="X13">
        <f>AVERAGE(O13:P13)</f>
        <v/>
      </c>
      <c r="Y13">
        <f>AVERAGE(Q13:R13)</f>
        <v/>
      </c>
      <c r="Z13">
        <f>AVERAGE(S13:W13)</f>
        <v/>
      </c>
      <c r="AA13">
        <f>MIN(S13:W13)</f>
        <v/>
      </c>
      <c r="AB13">
        <f>INDEX($S$3:$W$3,MATCH(AA13,S13:W13,0))</f>
        <v/>
      </c>
      <c r="AC13">
        <f>1-alpha*MAX(0,delta-AA13)</f>
        <v/>
      </c>
      <c r="AD13">
        <f>Z13*AC13</f>
        <v/>
      </c>
      <c r="AE13">
        <f>1+COUNTIF(bounds,"&lt;"&amp;ROUND(AD13,12))</f>
        <v/>
      </c>
      <c r="AF13">
        <f>1+COUNTIF($AD$6:$AD$15,"&gt;"&amp;AD13)</f>
        <v/>
      </c>
    </row>
    <row r="14">
      <c r="A14" t="inlineStr">
        <is>
          <t>BG</t>
        </is>
      </c>
      <c r="B14">
        <f>IF(Processing_data!$I$4="","",MIN(1,MAX(0,(Processing_data!$I$4-Processing_data!$AL$4)/(Processing_data!$AJ$4-Processing_data!$AL$4))))</f>
        <v/>
      </c>
      <c r="C14">
        <f>IF(Processing_data!$I$5="","",MIN(1,MAX(0,(Processing_data!$I$5-Processing_data!$AL$5)/(Processing_data!$AJ$5-Processing_data!$AL$5))))</f>
        <v/>
      </c>
      <c r="D14">
        <f>IF(Processing_data!$I$6="","",MIN(1,MAX(0,(Processing_data!$I$6-Processing_data!$AL$6)/(Processing_data!$AJ$6-Processing_data!$AL$6))))</f>
        <v/>
      </c>
      <c r="E14">
        <f>IF(Processing_data!$I$7="","",MIN(1,MAX(0,(Processing_data!$I$7-Processing_data!$AL$7)/(Processing_data!$AJ$7-Processing_data!$AL$7))))</f>
        <v/>
      </c>
      <c r="F14">
        <f>IF(Processing_data!$I$8="","",MIN(1,MAX(0,(Processing_data!$I$8-Processing_data!$AL$8)/(Processing_data!$AJ$8-Processing_data!$AL$8))))</f>
        <v/>
      </c>
      <c r="G14">
        <f>IF(Processing_data!$I$9="","",MIN(1,MAX(0,(Processing_data!$I$9-Processing_data!$AL$9)/(Processing_data!$AJ$9-Processing_data!$AL$9))))</f>
        <v/>
      </c>
      <c r="H14">
        <f>IF(Processing_data!$I$10="","",MIN(1,MAX(0,(Processing_data!$I$10-Processing_data!$AL$10)/(Processing_data!$AJ$10-Processing_data!$AL$10))))</f>
        <v/>
      </c>
      <c r="I14">
        <f>IF(Processing_data!$I$11="","",MIN(1,MAX(0,(Processing_data!$I$11-Processing_data!$AL$11)/(Processing_data!$AJ$11-Processing_data!$AL$11))))</f>
        <v/>
      </c>
      <c r="J14">
        <f>IF(Processing_data!$I$12="","",MIN(1,MAX(0,(Processing_data!$I$12-Processing_data!$AL$12)/(Processing_data!$AJ$12-Processing_data!$AL$12))))</f>
        <v/>
      </c>
      <c r="K14">
        <f>IF(Processing_data!$I$13="","",MIN(1,MAX(0,(Processing_data!$I$13-Processing_data!$AL$13)/(Processing_data!$AJ$13-Processing_data!$AL$13))))</f>
        <v/>
      </c>
      <c r="L14">
        <f>IF(Processing_data!$I$14="","",MIN(1,MAX(0,(Processing_data!$I$14-Processing_data!$AL$14)/(Processing_data!$AJ$14-Processing_data!$AL$14))))</f>
        <v/>
      </c>
      <c r="M14">
        <f>IF(Processing_data!$I$15="","",MIN(1,MAX(0,(Processing_data!$I$15-Processing_data!$AL$15)/(Processing_data!$AJ$15-Processing_data!$AL$15))))</f>
        <v/>
      </c>
      <c r="N14">
        <f>IF(Processing_data!$I$16="","",MIN(1,MAX(0,(Processing_data!$I$16-Processing_data!$AL$16)/(Processing_data!$AJ$16-Processing_data!$AL$16))))</f>
        <v/>
      </c>
      <c r="O14">
        <f>IF(Processing_data!$I$17="","",MIN(1,MAX(0,(Processing_data!$I$17-Processing_data!$AL$17)/(Processing_data!$AJ$17-Processing_data!$AL$17))))</f>
        <v/>
      </c>
      <c r="P14">
        <f>IF(Processing_data!$I$18="","",MIN(1,MAX(0,(Processing_data!$I$18-Processing_data!$AL$18)/(Processing_data!$AJ$18-Processing_data!$AL$18))))</f>
        <v/>
      </c>
      <c r="Q14">
        <f>IF(Processing_data!$I$19="","",MIN(1,MAX(0,(Processing_data!$I$19-Processing_data!$AL$19)/(Processing_data!$AJ$19-Processing_data!$AL$19))))</f>
        <v/>
      </c>
      <c r="R14">
        <f>IF(Processing_data!$I$20="","",MIN(1,MAX(0,(Processing_data!$I$20-Processing_data!$AL$20)/(Processing_data!$AJ$20-Processing_data!$AL$20))))</f>
        <v/>
      </c>
      <c r="S14">
        <f>AVERAGE(B14:D14)</f>
        <v/>
      </c>
      <c r="T14">
        <f>AVERAGE(E14:F14)</f>
        <v/>
      </c>
      <c r="U14">
        <f>AVERAGE(G14:I14)</f>
        <v/>
      </c>
      <c r="V14">
        <f>AVERAGE(J14:K14)</f>
        <v/>
      </c>
      <c r="W14">
        <f>AVERAGE(L14:N14)</f>
        <v/>
      </c>
      <c r="X14">
        <f>AVERAGE(O14:P14)</f>
        <v/>
      </c>
      <c r="Y14">
        <f>AVERAGE(Q14:R14)</f>
        <v/>
      </c>
      <c r="Z14">
        <f>AVERAGE(S14:W14)</f>
        <v/>
      </c>
      <c r="AA14">
        <f>MIN(S14:W14)</f>
        <v/>
      </c>
      <c r="AB14">
        <f>INDEX($S$3:$W$3,MATCH(AA14,S14:W14,0))</f>
        <v/>
      </c>
      <c r="AC14">
        <f>1-alpha*MAX(0,delta-AA14)</f>
        <v/>
      </c>
      <c r="AD14">
        <f>Z14*AC14</f>
        <v/>
      </c>
      <c r="AE14">
        <f>1+COUNTIF(bounds,"&lt;"&amp;ROUND(AD14,12))</f>
        <v/>
      </c>
      <c r="AF14">
        <f>1+COUNTIF($AD$6:$AD$15,"&gt;"&amp;AD14)</f>
        <v/>
      </c>
    </row>
    <row r="15">
      <c r="A15" t="inlineStr">
        <is>
          <t>UA</t>
        </is>
      </c>
      <c r="B15">
        <f>IF(Processing_data!$AI$4="","",MIN(1,MAX(0,(Processing_data!$AI$4-Processing_data!$AL$4)/(Processing_data!$AJ$4-Processing_data!$AL$4))))</f>
        <v/>
      </c>
      <c r="C15">
        <f>IF(Processing_data!$AI$5="","",MIN(1,MAX(0,(Processing_data!$AI$5-Processing_data!$AL$5)/(Processing_data!$AJ$5-Processing_data!$AL$5))))</f>
        <v/>
      </c>
      <c r="D15">
        <f>IF(Processing_data!$AI$6="","",MIN(1,MAX(0,(Processing_data!$AI$6-Processing_data!$AL$6)/(Processing_data!$AJ$6-Processing_data!$AL$6))))</f>
        <v/>
      </c>
      <c r="E15">
        <f>IF(Processing_data!$AI$7="","",MIN(1,MAX(0,(Processing_data!$AI$7-Processing_data!$AL$7)/(Processing_data!$AJ$7-Processing_data!$AL$7))))</f>
        <v/>
      </c>
      <c r="F15">
        <f>IF(Processing_data!$AI$8="","",MIN(1,MAX(0,(Processing_data!$AI$8-Processing_data!$AL$8)/(Processing_data!$AJ$8-Processing_data!$AL$8))))</f>
        <v/>
      </c>
      <c r="G15">
        <f>IF(Processing_data!$AI$9="","",MIN(1,MAX(0,(Processing_data!$AI$9-Processing_data!$AL$9)/(Processing_data!$AJ$9-Processing_data!$AL$9))))</f>
        <v/>
      </c>
      <c r="H15">
        <f>IF(Processing_data!$AI$10="","",MIN(1,MAX(0,(Processing_data!$AI$10-Processing_data!$AL$10)/(Processing_data!$AJ$10-Processing_data!$AL$10))))</f>
        <v/>
      </c>
      <c r="I15">
        <f>IF(Processing_data!$AI$11="","",MIN(1,MAX(0,(Processing_data!$AI$11-Processing_data!$AL$11)/(Processing_data!$AJ$11-Processing_data!$AL$11))))</f>
        <v/>
      </c>
      <c r="J15">
        <f>IF(Processing_data!$AI$12="","",MIN(1,MAX(0,(Processing_data!$AI$12-Processing_data!$AL$12)/(Processing_data!$AJ$12-Processing_data!$AL$12))))</f>
        <v/>
      </c>
      <c r="K15">
        <f>IF(Processing_data!$AI$13="","",MIN(1,MAX(0,(Processing_data!$AI$13-Processing_data!$AL$13)/(Processing_data!$AJ$13-Processing_data!$AL$13))))</f>
        <v/>
      </c>
      <c r="L15">
        <f>IF(Processing_data!$AI$14="","",MIN(1,MAX(0,(Processing_data!$AI$14-Processing_data!$AL$14)/(Processing_data!$AJ$14-Processing_data!$AL$14))))</f>
        <v/>
      </c>
      <c r="M15">
        <f>IF(Processing_data!$AI$15="","",MIN(1,MAX(0,(Processing_data!$AI$15-Processing_data!$AL$15)/(Processing_data!$AJ$15-Processing_data!$AL$15))))</f>
        <v/>
      </c>
      <c r="N15">
        <f>IF(Processing_data!$AI$16="","",MIN(1,MAX(0,(Processing_data!$AI$16-Processing_data!$AL$16)/(Processing_data!$AJ$16-Processing_data!$AL$16))))</f>
        <v/>
      </c>
      <c r="O15">
        <f>IF(Processing_data!$AI$17="","",MIN(1,MAX(0,(Processing_data!$AI$17-Processing_data!$AL$17)/(Processing_data!$AJ$17-Processing_data!$AL$17))))</f>
        <v/>
      </c>
      <c r="P15">
        <f>IF(Processing_data!$AI$18="","",MIN(1,MAX(0,(Processing_data!$AI$18-Processing_data!$AL$18)/(Processing_data!$AJ$18-Processing_data!$AL$18))))</f>
        <v/>
      </c>
      <c r="Q15">
        <f>IF(Processing_data!$AI$19="","",MIN(1,MAX(0,(Processing_data!$AI$19-Processing_data!$AL$19)/(Processing_data!$AJ$19-Processing_data!$AL$19))))</f>
        <v/>
      </c>
      <c r="R15">
        <f>IF(Processing_data!$AI$20="","",MIN(1,MAX(0,(Processing_data!$AI$20-Processing_data!$AL$20)/(Processing_data!$AJ$20-Processing_data!$AL$20))))</f>
        <v/>
      </c>
      <c r="S15">
        <f>AVERAGE(B15:D15)</f>
        <v/>
      </c>
      <c r="T15">
        <f>AVERAGE(E15:F15)</f>
        <v/>
      </c>
      <c r="U15">
        <f>AVERAGE(G15:I15)</f>
        <v/>
      </c>
      <c r="V15">
        <f>AVERAGE(J15:K15)</f>
        <v/>
      </c>
      <c r="W15">
        <f>AVERAGE(L15:N15)</f>
        <v/>
      </c>
      <c r="X15">
        <f>AVERAGE(O15:P15)</f>
        <v/>
      </c>
      <c r="Y15">
        <f>AVERAGE(Q15:R15)</f>
        <v/>
      </c>
      <c r="Z15">
        <f>AVERAGE(S15:W15)</f>
        <v/>
      </c>
      <c r="AA15">
        <f>MIN(S15:W15)</f>
        <v/>
      </c>
      <c r="AB15">
        <f>INDEX($S$3:$W$3,MATCH(AA15,S15:W15,0))</f>
        <v/>
      </c>
      <c r="AC15">
        <f>1-alpha*MAX(0,delta-AA15)</f>
        <v/>
      </c>
      <c r="AD15">
        <f>Z15*AC15</f>
        <v/>
      </c>
      <c r="AE15">
        <f>1+COUNTIF(bounds,"&lt;"&amp;ROUND(AD15,12))</f>
        <v/>
      </c>
      <c r="AF15">
        <f>1+COUNTIF($AD$6:$AD$15,"&gt;"&amp;AD15)</f>
        <v/>
      </c>
    </row>
    <row r="18">
      <c r="A18" s="3" t="inlineStr">
        <is>
          <t>Spearman, leader vs min-max ranking</t>
        </is>
      </c>
      <c r="B18">
        <f>1-6*SUMPRODUCT((Processing_index!$AF$6:$AF$15-$AF$6:$AF$15)^2)/(10*(10^2-1))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412"/>
  <sheetViews>
    <sheetView workbookViewId="0">
      <selection activeCell="A1" sqref="A1"/>
    </sheetView>
  </sheetViews>
  <sheetFormatPr baseColWidth="8" defaultRowHeight="15"/>
  <cols>
    <col width="34" customWidth="1" min="1" max="1"/>
  </cols>
  <sheetData>
    <row r="1">
      <c r="A1" s="1" t="inlineStr">
        <is>
          <t>Sensitivity of the ADMI ranking (nine CEE countries + Ukraine) to the decisions of the method</t>
        </is>
      </c>
    </row>
    <row r="3">
      <c r="A3" s="3" t="inlineStr">
        <is>
          <t>Penalty alpha (yellow cells may be changed)</t>
        </is>
      </c>
    </row>
    <row r="4">
      <c r="D4" s="4" t="n">
        <v>0</v>
      </c>
      <c r="F4" s="4" t="n">
        <v>0.2</v>
      </c>
      <c r="H4" s="4" t="n">
        <v>0.4</v>
      </c>
      <c r="J4" s="4" t="n">
        <v>0.6</v>
      </c>
      <c r="L4" s="4" t="n">
        <v>0.8</v>
      </c>
      <c r="N4" s="4" t="n">
        <v>1</v>
      </c>
    </row>
    <row r="5">
      <c r="A5" s="3" t="inlineStr">
        <is>
          <t>Unit</t>
        </is>
      </c>
      <c r="B5" s="3" t="inlineStr">
        <is>
          <t>ADMI_base</t>
        </is>
      </c>
      <c r="C5" s="3" t="inlineStr">
        <is>
          <t>DM_min</t>
        </is>
      </c>
      <c r="D5" s="3" t="inlineStr">
        <is>
          <t>ADMI</t>
        </is>
      </c>
      <c r="E5" s="3" t="inlineStr">
        <is>
          <t>Rank</t>
        </is>
      </c>
      <c r="F5" s="3" t="inlineStr">
        <is>
          <t>ADMI</t>
        </is>
      </c>
      <c r="G5" s="3" t="inlineStr">
        <is>
          <t>Rank</t>
        </is>
      </c>
      <c r="H5" s="3" t="inlineStr">
        <is>
          <t>ADMI</t>
        </is>
      </c>
      <c r="I5" s="3" t="inlineStr">
        <is>
          <t>Rank</t>
        </is>
      </c>
      <c r="J5" s="3" t="inlineStr">
        <is>
          <t>ADMI</t>
        </is>
      </c>
      <c r="K5" s="3" t="inlineStr">
        <is>
          <t>Rank</t>
        </is>
      </c>
      <c r="L5" s="3" t="inlineStr">
        <is>
          <t>ADMI</t>
        </is>
      </c>
      <c r="M5" s="3" t="inlineStr">
        <is>
          <t>Rank</t>
        </is>
      </c>
      <c r="N5" s="3" t="inlineStr">
        <is>
          <t>ADMI</t>
        </is>
      </c>
      <c r="O5" s="3" t="inlineStr">
        <is>
          <t>Rank</t>
        </is>
      </c>
    </row>
    <row r="6">
      <c r="A6" t="inlineStr">
        <is>
          <t>PL</t>
        </is>
      </c>
      <c r="B6">
        <f>Processing_index!$Z$6</f>
        <v/>
      </c>
      <c r="C6">
        <f>Processing_index!$AA$6</f>
        <v/>
      </c>
      <c r="D6">
        <f>$B6*(1-D$4*MAX(0,delta-$C6))</f>
        <v/>
      </c>
      <c r="E6">
        <f>1+COUNTIF($D$6:$D$15,"&gt;"&amp;D6)</f>
        <v/>
      </c>
      <c r="F6">
        <f>$B6*(1-F$4*MAX(0,delta-$C6))</f>
        <v/>
      </c>
      <c r="G6">
        <f>1+COUNTIF($F$6:$F$15,"&gt;"&amp;F6)</f>
        <v/>
      </c>
      <c r="H6">
        <f>$B6*(1-H$4*MAX(0,delta-$C6))</f>
        <v/>
      </c>
      <c r="I6">
        <f>1+COUNTIF($H$6:$H$15,"&gt;"&amp;H6)</f>
        <v/>
      </c>
      <c r="J6">
        <f>$B6*(1-J$4*MAX(0,delta-$C6))</f>
        <v/>
      </c>
      <c r="K6">
        <f>1+COUNTIF($J$6:$J$15,"&gt;"&amp;J6)</f>
        <v/>
      </c>
      <c r="L6">
        <f>$B6*(1-L$4*MAX(0,delta-$C6))</f>
        <v/>
      </c>
      <c r="M6">
        <f>1+COUNTIF($L$6:$L$15,"&gt;"&amp;L6)</f>
        <v/>
      </c>
      <c r="N6">
        <f>$B6*(1-N$4*MAX(0,delta-$C6))</f>
        <v/>
      </c>
      <c r="O6">
        <f>1+COUNTIF($N$6:$N$15,"&gt;"&amp;N6)</f>
        <v/>
      </c>
    </row>
    <row r="7">
      <c r="A7" t="inlineStr">
        <is>
          <t>HU</t>
        </is>
      </c>
      <c r="B7">
        <f>Processing_index!$Z$7</f>
        <v/>
      </c>
      <c r="C7">
        <f>Processing_index!$AA$7</f>
        <v/>
      </c>
      <c r="D7">
        <f>$B7*(1-D$4*MAX(0,delta-$C7))</f>
        <v/>
      </c>
      <c r="E7">
        <f>1+COUNTIF($D$6:$D$15,"&gt;"&amp;D7)</f>
        <v/>
      </c>
      <c r="F7">
        <f>$B7*(1-F$4*MAX(0,delta-$C7))</f>
        <v/>
      </c>
      <c r="G7">
        <f>1+COUNTIF($F$6:$F$15,"&gt;"&amp;F7)</f>
        <v/>
      </c>
      <c r="H7">
        <f>$B7*(1-H$4*MAX(0,delta-$C7))</f>
        <v/>
      </c>
      <c r="I7">
        <f>1+COUNTIF($H$6:$H$15,"&gt;"&amp;H7)</f>
        <v/>
      </c>
      <c r="J7">
        <f>$B7*(1-J$4*MAX(0,delta-$C7))</f>
        <v/>
      </c>
      <c r="K7">
        <f>1+COUNTIF($J$6:$J$15,"&gt;"&amp;J7)</f>
        <v/>
      </c>
      <c r="L7">
        <f>$B7*(1-L$4*MAX(0,delta-$C7))</f>
        <v/>
      </c>
      <c r="M7">
        <f>1+COUNTIF($L$6:$L$15,"&gt;"&amp;L7)</f>
        <v/>
      </c>
      <c r="N7">
        <f>$B7*(1-N$4*MAX(0,delta-$C7))</f>
        <v/>
      </c>
      <c r="O7">
        <f>1+COUNTIF($N$6:$N$15,"&gt;"&amp;N7)</f>
        <v/>
      </c>
    </row>
    <row r="8">
      <c r="A8" t="inlineStr">
        <is>
          <t>RO</t>
        </is>
      </c>
      <c r="B8">
        <f>Processing_index!$Z$8</f>
        <v/>
      </c>
      <c r="C8">
        <f>Processing_index!$AA$8</f>
        <v/>
      </c>
      <c r="D8">
        <f>$B8*(1-D$4*MAX(0,delta-$C8))</f>
        <v/>
      </c>
      <c r="E8">
        <f>1+COUNTIF($D$6:$D$15,"&gt;"&amp;D8)</f>
        <v/>
      </c>
      <c r="F8">
        <f>$B8*(1-F$4*MAX(0,delta-$C8))</f>
        <v/>
      </c>
      <c r="G8">
        <f>1+COUNTIF($F$6:$F$15,"&gt;"&amp;F8)</f>
        <v/>
      </c>
      <c r="H8">
        <f>$B8*(1-H$4*MAX(0,delta-$C8))</f>
        <v/>
      </c>
      <c r="I8">
        <f>1+COUNTIF($H$6:$H$15,"&gt;"&amp;H8)</f>
        <v/>
      </c>
      <c r="J8">
        <f>$B8*(1-J$4*MAX(0,delta-$C8))</f>
        <v/>
      </c>
      <c r="K8">
        <f>1+COUNTIF($J$6:$J$15,"&gt;"&amp;J8)</f>
        <v/>
      </c>
      <c r="L8">
        <f>$B8*(1-L$4*MAX(0,delta-$C8))</f>
        <v/>
      </c>
      <c r="M8">
        <f>1+COUNTIF($L$6:$L$15,"&gt;"&amp;L8)</f>
        <v/>
      </c>
      <c r="N8">
        <f>$B8*(1-N$4*MAX(0,delta-$C8))</f>
        <v/>
      </c>
      <c r="O8">
        <f>1+COUNTIF($N$6:$N$15,"&gt;"&amp;N8)</f>
        <v/>
      </c>
    </row>
    <row r="9">
      <c r="A9" t="inlineStr">
        <is>
          <t>CZ</t>
        </is>
      </c>
      <c r="B9">
        <f>Processing_index!$Z$9</f>
        <v/>
      </c>
      <c r="C9">
        <f>Processing_index!$AA$9</f>
        <v/>
      </c>
      <c r="D9">
        <f>$B9*(1-D$4*MAX(0,delta-$C9))</f>
        <v/>
      </c>
      <c r="E9">
        <f>1+COUNTIF($D$6:$D$15,"&gt;"&amp;D9)</f>
        <v/>
      </c>
      <c r="F9">
        <f>$B9*(1-F$4*MAX(0,delta-$C9))</f>
        <v/>
      </c>
      <c r="G9">
        <f>1+COUNTIF($F$6:$F$15,"&gt;"&amp;F9)</f>
        <v/>
      </c>
      <c r="H9">
        <f>$B9*(1-H$4*MAX(0,delta-$C9))</f>
        <v/>
      </c>
      <c r="I9">
        <f>1+COUNTIF($H$6:$H$15,"&gt;"&amp;H9)</f>
        <v/>
      </c>
      <c r="J9">
        <f>$B9*(1-J$4*MAX(0,delta-$C9))</f>
        <v/>
      </c>
      <c r="K9">
        <f>1+COUNTIF($J$6:$J$15,"&gt;"&amp;J9)</f>
        <v/>
      </c>
      <c r="L9">
        <f>$B9*(1-L$4*MAX(0,delta-$C9))</f>
        <v/>
      </c>
      <c r="M9">
        <f>1+COUNTIF($L$6:$L$15,"&gt;"&amp;L9)</f>
        <v/>
      </c>
      <c r="N9">
        <f>$B9*(1-N$4*MAX(0,delta-$C9))</f>
        <v/>
      </c>
      <c r="O9">
        <f>1+COUNTIF($N$6:$N$15,"&gt;"&amp;N9)</f>
        <v/>
      </c>
    </row>
    <row r="10">
      <c r="A10" t="inlineStr">
        <is>
          <t>SK</t>
        </is>
      </c>
      <c r="B10">
        <f>Processing_index!$Z$10</f>
        <v/>
      </c>
      <c r="C10">
        <f>Processing_index!$AA$10</f>
        <v/>
      </c>
      <c r="D10">
        <f>$B10*(1-D$4*MAX(0,delta-$C10))</f>
        <v/>
      </c>
      <c r="E10">
        <f>1+COUNTIF($D$6:$D$15,"&gt;"&amp;D10)</f>
        <v/>
      </c>
      <c r="F10">
        <f>$B10*(1-F$4*MAX(0,delta-$C10))</f>
        <v/>
      </c>
      <c r="G10">
        <f>1+COUNTIF($F$6:$F$15,"&gt;"&amp;F10)</f>
        <v/>
      </c>
      <c r="H10">
        <f>$B10*(1-H$4*MAX(0,delta-$C10))</f>
        <v/>
      </c>
      <c r="I10">
        <f>1+COUNTIF($H$6:$H$15,"&gt;"&amp;H10)</f>
        <v/>
      </c>
      <c r="J10">
        <f>$B10*(1-J$4*MAX(0,delta-$C10))</f>
        <v/>
      </c>
      <c r="K10">
        <f>1+COUNTIF($J$6:$J$15,"&gt;"&amp;J10)</f>
        <v/>
      </c>
      <c r="L10">
        <f>$B10*(1-L$4*MAX(0,delta-$C10))</f>
        <v/>
      </c>
      <c r="M10">
        <f>1+COUNTIF($L$6:$L$15,"&gt;"&amp;L10)</f>
        <v/>
      </c>
      <c r="N10">
        <f>$B10*(1-N$4*MAX(0,delta-$C10))</f>
        <v/>
      </c>
      <c r="O10">
        <f>1+COUNTIF($N$6:$N$15,"&gt;"&amp;N10)</f>
        <v/>
      </c>
    </row>
    <row r="11">
      <c r="A11" t="inlineStr">
        <is>
          <t>LT</t>
        </is>
      </c>
      <c r="B11">
        <f>Processing_index!$Z$11</f>
        <v/>
      </c>
      <c r="C11">
        <f>Processing_index!$AA$11</f>
        <v/>
      </c>
      <c r="D11">
        <f>$B11*(1-D$4*MAX(0,delta-$C11))</f>
        <v/>
      </c>
      <c r="E11">
        <f>1+COUNTIF($D$6:$D$15,"&gt;"&amp;D11)</f>
        <v/>
      </c>
      <c r="F11">
        <f>$B11*(1-F$4*MAX(0,delta-$C11))</f>
        <v/>
      </c>
      <c r="G11">
        <f>1+COUNTIF($F$6:$F$15,"&gt;"&amp;F11)</f>
        <v/>
      </c>
      <c r="H11">
        <f>$B11*(1-H$4*MAX(0,delta-$C11))</f>
        <v/>
      </c>
      <c r="I11">
        <f>1+COUNTIF($H$6:$H$15,"&gt;"&amp;H11)</f>
        <v/>
      </c>
      <c r="J11">
        <f>$B11*(1-J$4*MAX(0,delta-$C11))</f>
        <v/>
      </c>
      <c r="K11">
        <f>1+COUNTIF($J$6:$J$15,"&gt;"&amp;J11)</f>
        <v/>
      </c>
      <c r="L11">
        <f>$B11*(1-L$4*MAX(0,delta-$C11))</f>
        <v/>
      </c>
      <c r="M11">
        <f>1+COUNTIF($L$6:$L$15,"&gt;"&amp;L11)</f>
        <v/>
      </c>
      <c r="N11">
        <f>$B11*(1-N$4*MAX(0,delta-$C11))</f>
        <v/>
      </c>
      <c r="O11">
        <f>1+COUNTIF($N$6:$N$15,"&gt;"&amp;N11)</f>
        <v/>
      </c>
    </row>
    <row r="12">
      <c r="A12" t="inlineStr">
        <is>
          <t>LV</t>
        </is>
      </c>
      <c r="B12">
        <f>Processing_index!$Z$12</f>
        <v/>
      </c>
      <c r="C12">
        <f>Processing_index!$AA$12</f>
        <v/>
      </c>
      <c r="D12">
        <f>$B12*(1-D$4*MAX(0,delta-$C12))</f>
        <v/>
      </c>
      <c r="E12">
        <f>1+COUNTIF($D$6:$D$15,"&gt;"&amp;D12)</f>
        <v/>
      </c>
      <c r="F12">
        <f>$B12*(1-F$4*MAX(0,delta-$C12))</f>
        <v/>
      </c>
      <c r="G12">
        <f>1+COUNTIF($F$6:$F$15,"&gt;"&amp;F12)</f>
        <v/>
      </c>
      <c r="H12">
        <f>$B12*(1-H$4*MAX(0,delta-$C12))</f>
        <v/>
      </c>
      <c r="I12">
        <f>1+COUNTIF($H$6:$H$15,"&gt;"&amp;H12)</f>
        <v/>
      </c>
      <c r="J12">
        <f>$B12*(1-J$4*MAX(0,delta-$C12))</f>
        <v/>
      </c>
      <c r="K12">
        <f>1+COUNTIF($J$6:$J$15,"&gt;"&amp;J12)</f>
        <v/>
      </c>
      <c r="L12">
        <f>$B12*(1-L$4*MAX(0,delta-$C12))</f>
        <v/>
      </c>
      <c r="M12">
        <f>1+COUNTIF($L$6:$L$15,"&gt;"&amp;L12)</f>
        <v/>
      </c>
      <c r="N12">
        <f>$B12*(1-N$4*MAX(0,delta-$C12))</f>
        <v/>
      </c>
      <c r="O12">
        <f>1+COUNTIF($N$6:$N$15,"&gt;"&amp;N12)</f>
        <v/>
      </c>
    </row>
    <row r="13">
      <c r="A13" t="inlineStr">
        <is>
          <t>EE</t>
        </is>
      </c>
      <c r="B13">
        <f>Processing_index!$Z$13</f>
        <v/>
      </c>
      <c r="C13">
        <f>Processing_index!$AA$13</f>
        <v/>
      </c>
      <c r="D13">
        <f>$B13*(1-D$4*MAX(0,delta-$C13))</f>
        <v/>
      </c>
      <c r="E13">
        <f>1+COUNTIF($D$6:$D$15,"&gt;"&amp;D13)</f>
        <v/>
      </c>
      <c r="F13">
        <f>$B13*(1-F$4*MAX(0,delta-$C13))</f>
        <v/>
      </c>
      <c r="G13">
        <f>1+COUNTIF($F$6:$F$15,"&gt;"&amp;F13)</f>
        <v/>
      </c>
      <c r="H13">
        <f>$B13*(1-H$4*MAX(0,delta-$C13))</f>
        <v/>
      </c>
      <c r="I13">
        <f>1+COUNTIF($H$6:$H$15,"&gt;"&amp;H13)</f>
        <v/>
      </c>
      <c r="J13">
        <f>$B13*(1-J$4*MAX(0,delta-$C13))</f>
        <v/>
      </c>
      <c r="K13">
        <f>1+COUNTIF($J$6:$J$15,"&gt;"&amp;J13)</f>
        <v/>
      </c>
      <c r="L13">
        <f>$B13*(1-L$4*MAX(0,delta-$C13))</f>
        <v/>
      </c>
      <c r="M13">
        <f>1+COUNTIF($L$6:$L$15,"&gt;"&amp;L13)</f>
        <v/>
      </c>
      <c r="N13">
        <f>$B13*(1-N$4*MAX(0,delta-$C13))</f>
        <v/>
      </c>
      <c r="O13">
        <f>1+COUNTIF($N$6:$N$15,"&gt;"&amp;N13)</f>
        <v/>
      </c>
    </row>
    <row r="14">
      <c r="A14" t="inlineStr">
        <is>
          <t>BG</t>
        </is>
      </c>
      <c r="B14">
        <f>Processing_index!$Z$14</f>
        <v/>
      </c>
      <c r="C14">
        <f>Processing_index!$AA$14</f>
        <v/>
      </c>
      <c r="D14">
        <f>$B14*(1-D$4*MAX(0,delta-$C14))</f>
        <v/>
      </c>
      <c r="E14">
        <f>1+COUNTIF($D$6:$D$15,"&gt;"&amp;D14)</f>
        <v/>
      </c>
      <c r="F14">
        <f>$B14*(1-F$4*MAX(0,delta-$C14))</f>
        <v/>
      </c>
      <c r="G14">
        <f>1+COUNTIF($F$6:$F$15,"&gt;"&amp;F14)</f>
        <v/>
      </c>
      <c r="H14">
        <f>$B14*(1-H$4*MAX(0,delta-$C14))</f>
        <v/>
      </c>
      <c r="I14">
        <f>1+COUNTIF($H$6:$H$15,"&gt;"&amp;H14)</f>
        <v/>
      </c>
      <c r="J14">
        <f>$B14*(1-J$4*MAX(0,delta-$C14))</f>
        <v/>
      </c>
      <c r="K14">
        <f>1+COUNTIF($J$6:$J$15,"&gt;"&amp;J14)</f>
        <v/>
      </c>
      <c r="L14">
        <f>$B14*(1-L$4*MAX(0,delta-$C14))</f>
        <v/>
      </c>
      <c r="M14">
        <f>1+COUNTIF($L$6:$L$15,"&gt;"&amp;L14)</f>
        <v/>
      </c>
      <c r="N14">
        <f>$B14*(1-N$4*MAX(0,delta-$C14))</f>
        <v/>
      </c>
      <c r="O14">
        <f>1+COUNTIF($N$6:$N$15,"&gt;"&amp;N14)</f>
        <v/>
      </c>
    </row>
    <row r="15">
      <c r="A15" t="inlineStr">
        <is>
          <t>UA</t>
        </is>
      </c>
      <c r="B15">
        <f>Processing_index!$Z$15</f>
        <v/>
      </c>
      <c r="C15">
        <f>Processing_index!$AA$15</f>
        <v/>
      </c>
      <c r="D15">
        <f>$B15*(1-D$4*MAX(0,delta-$C15))</f>
        <v/>
      </c>
      <c r="E15">
        <f>1+COUNTIF($D$6:$D$15,"&gt;"&amp;D15)</f>
        <v/>
      </c>
      <c r="F15">
        <f>$B15*(1-F$4*MAX(0,delta-$C15))</f>
        <v/>
      </c>
      <c r="G15">
        <f>1+COUNTIF($F$6:$F$15,"&gt;"&amp;F15)</f>
        <v/>
      </c>
      <c r="H15">
        <f>$B15*(1-H$4*MAX(0,delta-$C15))</f>
        <v/>
      </c>
      <c r="I15">
        <f>1+COUNTIF($H$6:$H$15,"&gt;"&amp;H15)</f>
        <v/>
      </c>
      <c r="J15">
        <f>$B15*(1-J$4*MAX(0,delta-$C15))</f>
        <v/>
      </c>
      <c r="K15">
        <f>1+COUNTIF($J$6:$J$15,"&gt;"&amp;J15)</f>
        <v/>
      </c>
      <c r="L15">
        <f>$B15*(1-L$4*MAX(0,delta-$C15))</f>
        <v/>
      </c>
      <c r="M15">
        <f>1+COUNTIF($L$6:$L$15,"&gt;"&amp;L15)</f>
        <v/>
      </c>
      <c r="N15">
        <f>$B15*(1-N$4*MAX(0,delta-$C15))</f>
        <v/>
      </c>
      <c r="O15">
        <f>1+COUNTIF($N$6:$N$15,"&gt;"&amp;N15)</f>
        <v/>
      </c>
    </row>
    <row r="16">
      <c r="A16" s="3" t="inlineStr">
        <is>
          <t>Spearman with baseline</t>
        </is>
      </c>
      <c r="E16">
        <f>1-6*SUMPRODUCT((Processing_index!$AF$6:$AF$15-$E$6:$E$15)^2)/(10*(10^2-1))</f>
        <v/>
      </c>
      <c r="G16">
        <f>1-6*SUMPRODUCT((Processing_index!$AF$6:$AF$15-$G$6:$G$15)^2)/(10*(10^2-1))</f>
        <v/>
      </c>
      <c r="I16">
        <f>1-6*SUMPRODUCT((Processing_index!$AF$6:$AF$15-$I$6:$I$15)^2)/(10*(10^2-1))</f>
        <v/>
      </c>
      <c r="K16">
        <f>1-6*SUMPRODUCT((Processing_index!$AF$6:$AF$15-$K$6:$K$15)^2)/(10*(10^2-1))</f>
        <v/>
      </c>
      <c r="M16">
        <f>1-6*SUMPRODUCT((Processing_index!$AF$6:$AF$15-$M$6:$M$15)^2)/(10*(10^2-1))</f>
        <v/>
      </c>
      <c r="O16">
        <f>1-6*SUMPRODUCT((Processing_index!$AF$6:$AF$15-$O$6:$O$15)^2)/(10*(10^2-1))</f>
        <v/>
      </c>
    </row>
    <row r="17">
      <c r="A17" s="3" t="inlineStr">
        <is>
          <t>Units whose rank changed</t>
        </is>
      </c>
      <c r="E17">
        <f>SUMPRODUCT(--(Processing_index!$AF$6:$AF$15&lt;&gt;$E$6:$E$15))</f>
        <v/>
      </c>
      <c r="G17">
        <f>SUMPRODUCT(--(Processing_index!$AF$6:$AF$15&lt;&gt;$G$6:$G$15))</f>
        <v/>
      </c>
      <c r="I17">
        <f>SUMPRODUCT(--(Processing_index!$AF$6:$AF$15&lt;&gt;$I$6:$I$15))</f>
        <v/>
      </c>
      <c r="K17">
        <f>SUMPRODUCT(--(Processing_index!$AF$6:$AF$15&lt;&gt;$K$6:$K$15))</f>
        <v/>
      </c>
      <c r="M17">
        <f>SUMPRODUCT(--(Processing_index!$AF$6:$AF$15&lt;&gt;$M$6:$M$15))</f>
        <v/>
      </c>
      <c r="O17">
        <f>SUMPRODUCT(--(Processing_index!$AF$6:$AF$15&lt;&gt;$O$6:$O$15))</f>
        <v/>
      </c>
    </row>
    <row r="21">
      <c r="A21" s="3" t="inlineStr">
        <is>
          <t>Penalty delta (yellow cells may be changed)</t>
        </is>
      </c>
    </row>
    <row r="22">
      <c r="D22" s="4" t="n">
        <v>0.25</v>
      </c>
      <c r="F22" s="4" t="n">
        <v>0.3</v>
      </c>
      <c r="H22" s="4" t="n">
        <v>0.375</v>
      </c>
      <c r="J22" s="4" t="n">
        <v>0.45</v>
      </c>
      <c r="L22" s="4" t="n">
        <v>0.55</v>
      </c>
    </row>
    <row r="23">
      <c r="A23" s="3" t="inlineStr">
        <is>
          <t>Unit</t>
        </is>
      </c>
      <c r="B23" s="3" t="inlineStr">
        <is>
          <t>ADMI_base</t>
        </is>
      </c>
      <c r="C23" s="3" t="inlineStr">
        <is>
          <t>DM_min</t>
        </is>
      </c>
      <c r="D23" s="3" t="inlineStr">
        <is>
          <t>ADMI</t>
        </is>
      </c>
      <c r="E23" s="3" t="inlineStr">
        <is>
          <t>Rank</t>
        </is>
      </c>
      <c r="F23" s="3" t="inlineStr">
        <is>
          <t>ADMI</t>
        </is>
      </c>
      <c r="G23" s="3" t="inlineStr">
        <is>
          <t>Rank</t>
        </is>
      </c>
      <c r="H23" s="3" t="inlineStr">
        <is>
          <t>ADMI</t>
        </is>
      </c>
      <c r="I23" s="3" t="inlineStr">
        <is>
          <t>Rank</t>
        </is>
      </c>
      <c r="J23" s="3" t="inlineStr">
        <is>
          <t>ADMI</t>
        </is>
      </c>
      <c r="K23" s="3" t="inlineStr">
        <is>
          <t>Rank</t>
        </is>
      </c>
      <c r="L23" s="3" t="inlineStr">
        <is>
          <t>ADMI</t>
        </is>
      </c>
      <c r="M23" s="3" t="inlineStr">
        <is>
          <t>Rank</t>
        </is>
      </c>
    </row>
    <row r="24">
      <c r="A24" t="inlineStr">
        <is>
          <t>PL</t>
        </is>
      </c>
      <c r="B24">
        <f>Processing_index!$Z$6</f>
        <v/>
      </c>
      <c r="C24">
        <f>Processing_index!$AA$6</f>
        <v/>
      </c>
      <c r="D24">
        <f>$B24*(1-alpha*MAX(0,D$22-$C24))</f>
        <v/>
      </c>
      <c r="E24">
        <f>1+COUNTIF($D$24:$D$33,"&gt;"&amp;D24)</f>
        <v/>
      </c>
      <c r="F24">
        <f>$B24*(1-alpha*MAX(0,F$22-$C24))</f>
        <v/>
      </c>
      <c r="G24">
        <f>1+COUNTIF($F$24:$F$33,"&gt;"&amp;F24)</f>
        <v/>
      </c>
      <c r="H24">
        <f>$B24*(1-alpha*MAX(0,H$22-$C24))</f>
        <v/>
      </c>
      <c r="I24">
        <f>1+COUNTIF($H$24:$H$33,"&gt;"&amp;H24)</f>
        <v/>
      </c>
      <c r="J24">
        <f>$B24*(1-alpha*MAX(0,J$22-$C24))</f>
        <v/>
      </c>
      <c r="K24">
        <f>1+COUNTIF($J$24:$J$33,"&gt;"&amp;J24)</f>
        <v/>
      </c>
      <c r="L24">
        <f>$B24*(1-alpha*MAX(0,L$22-$C24))</f>
        <v/>
      </c>
      <c r="M24">
        <f>1+COUNTIF($L$24:$L$33,"&gt;"&amp;L24)</f>
        <v/>
      </c>
    </row>
    <row r="25">
      <c r="A25" t="inlineStr">
        <is>
          <t>HU</t>
        </is>
      </c>
      <c r="B25">
        <f>Processing_index!$Z$7</f>
        <v/>
      </c>
      <c r="C25">
        <f>Processing_index!$AA$7</f>
        <v/>
      </c>
      <c r="D25">
        <f>$B25*(1-alpha*MAX(0,D$22-$C25))</f>
        <v/>
      </c>
      <c r="E25">
        <f>1+COUNTIF($D$24:$D$33,"&gt;"&amp;D25)</f>
        <v/>
      </c>
      <c r="F25">
        <f>$B25*(1-alpha*MAX(0,F$22-$C25))</f>
        <v/>
      </c>
      <c r="G25">
        <f>1+COUNTIF($F$24:$F$33,"&gt;"&amp;F25)</f>
        <v/>
      </c>
      <c r="H25">
        <f>$B25*(1-alpha*MAX(0,H$22-$C25))</f>
        <v/>
      </c>
      <c r="I25">
        <f>1+COUNTIF($H$24:$H$33,"&gt;"&amp;H25)</f>
        <v/>
      </c>
      <c r="J25">
        <f>$B25*(1-alpha*MAX(0,J$22-$C25))</f>
        <v/>
      </c>
      <c r="K25">
        <f>1+COUNTIF($J$24:$J$33,"&gt;"&amp;J25)</f>
        <v/>
      </c>
      <c r="L25">
        <f>$B25*(1-alpha*MAX(0,L$22-$C25))</f>
        <v/>
      </c>
      <c r="M25">
        <f>1+COUNTIF($L$24:$L$33,"&gt;"&amp;L25)</f>
        <v/>
      </c>
    </row>
    <row r="26">
      <c r="A26" t="inlineStr">
        <is>
          <t>RO</t>
        </is>
      </c>
      <c r="B26">
        <f>Processing_index!$Z$8</f>
        <v/>
      </c>
      <c r="C26">
        <f>Processing_index!$AA$8</f>
        <v/>
      </c>
      <c r="D26">
        <f>$B26*(1-alpha*MAX(0,D$22-$C26))</f>
        <v/>
      </c>
      <c r="E26">
        <f>1+COUNTIF($D$24:$D$33,"&gt;"&amp;D26)</f>
        <v/>
      </c>
      <c r="F26">
        <f>$B26*(1-alpha*MAX(0,F$22-$C26))</f>
        <v/>
      </c>
      <c r="G26">
        <f>1+COUNTIF($F$24:$F$33,"&gt;"&amp;F26)</f>
        <v/>
      </c>
      <c r="H26">
        <f>$B26*(1-alpha*MAX(0,H$22-$C26))</f>
        <v/>
      </c>
      <c r="I26">
        <f>1+COUNTIF($H$24:$H$33,"&gt;"&amp;H26)</f>
        <v/>
      </c>
      <c r="J26">
        <f>$B26*(1-alpha*MAX(0,J$22-$C26))</f>
        <v/>
      </c>
      <c r="K26">
        <f>1+COUNTIF($J$24:$J$33,"&gt;"&amp;J26)</f>
        <v/>
      </c>
      <c r="L26">
        <f>$B26*(1-alpha*MAX(0,L$22-$C26))</f>
        <v/>
      </c>
      <c r="M26">
        <f>1+COUNTIF($L$24:$L$33,"&gt;"&amp;L26)</f>
        <v/>
      </c>
    </row>
    <row r="27">
      <c r="A27" t="inlineStr">
        <is>
          <t>CZ</t>
        </is>
      </c>
      <c r="B27">
        <f>Processing_index!$Z$9</f>
        <v/>
      </c>
      <c r="C27">
        <f>Processing_index!$AA$9</f>
        <v/>
      </c>
      <c r="D27">
        <f>$B27*(1-alpha*MAX(0,D$22-$C27))</f>
        <v/>
      </c>
      <c r="E27">
        <f>1+COUNTIF($D$24:$D$33,"&gt;"&amp;D27)</f>
        <v/>
      </c>
      <c r="F27">
        <f>$B27*(1-alpha*MAX(0,F$22-$C27))</f>
        <v/>
      </c>
      <c r="G27">
        <f>1+COUNTIF($F$24:$F$33,"&gt;"&amp;F27)</f>
        <v/>
      </c>
      <c r="H27">
        <f>$B27*(1-alpha*MAX(0,H$22-$C27))</f>
        <v/>
      </c>
      <c r="I27">
        <f>1+COUNTIF($H$24:$H$33,"&gt;"&amp;H27)</f>
        <v/>
      </c>
      <c r="J27">
        <f>$B27*(1-alpha*MAX(0,J$22-$C27))</f>
        <v/>
      </c>
      <c r="K27">
        <f>1+COUNTIF($J$24:$J$33,"&gt;"&amp;J27)</f>
        <v/>
      </c>
      <c r="L27">
        <f>$B27*(1-alpha*MAX(0,L$22-$C27))</f>
        <v/>
      </c>
      <c r="M27">
        <f>1+COUNTIF($L$24:$L$33,"&gt;"&amp;L27)</f>
        <v/>
      </c>
    </row>
    <row r="28">
      <c r="A28" t="inlineStr">
        <is>
          <t>SK</t>
        </is>
      </c>
      <c r="B28">
        <f>Processing_index!$Z$10</f>
        <v/>
      </c>
      <c r="C28">
        <f>Processing_index!$AA$10</f>
        <v/>
      </c>
      <c r="D28">
        <f>$B28*(1-alpha*MAX(0,D$22-$C28))</f>
        <v/>
      </c>
      <c r="E28">
        <f>1+COUNTIF($D$24:$D$33,"&gt;"&amp;D28)</f>
        <v/>
      </c>
      <c r="F28">
        <f>$B28*(1-alpha*MAX(0,F$22-$C28))</f>
        <v/>
      </c>
      <c r="G28">
        <f>1+COUNTIF($F$24:$F$33,"&gt;"&amp;F28)</f>
        <v/>
      </c>
      <c r="H28">
        <f>$B28*(1-alpha*MAX(0,H$22-$C28))</f>
        <v/>
      </c>
      <c r="I28">
        <f>1+COUNTIF($H$24:$H$33,"&gt;"&amp;H28)</f>
        <v/>
      </c>
      <c r="J28">
        <f>$B28*(1-alpha*MAX(0,J$22-$C28))</f>
        <v/>
      </c>
      <c r="K28">
        <f>1+COUNTIF($J$24:$J$33,"&gt;"&amp;J28)</f>
        <v/>
      </c>
      <c r="L28">
        <f>$B28*(1-alpha*MAX(0,L$22-$C28))</f>
        <v/>
      </c>
      <c r="M28">
        <f>1+COUNTIF($L$24:$L$33,"&gt;"&amp;L28)</f>
        <v/>
      </c>
    </row>
    <row r="29">
      <c r="A29" t="inlineStr">
        <is>
          <t>LT</t>
        </is>
      </c>
      <c r="B29">
        <f>Processing_index!$Z$11</f>
        <v/>
      </c>
      <c r="C29">
        <f>Processing_index!$AA$11</f>
        <v/>
      </c>
      <c r="D29">
        <f>$B29*(1-alpha*MAX(0,D$22-$C29))</f>
        <v/>
      </c>
      <c r="E29">
        <f>1+COUNTIF($D$24:$D$33,"&gt;"&amp;D29)</f>
        <v/>
      </c>
      <c r="F29">
        <f>$B29*(1-alpha*MAX(0,F$22-$C29))</f>
        <v/>
      </c>
      <c r="G29">
        <f>1+COUNTIF($F$24:$F$33,"&gt;"&amp;F29)</f>
        <v/>
      </c>
      <c r="H29">
        <f>$B29*(1-alpha*MAX(0,H$22-$C29))</f>
        <v/>
      </c>
      <c r="I29">
        <f>1+COUNTIF($H$24:$H$33,"&gt;"&amp;H29)</f>
        <v/>
      </c>
      <c r="J29">
        <f>$B29*(1-alpha*MAX(0,J$22-$C29))</f>
        <v/>
      </c>
      <c r="K29">
        <f>1+COUNTIF($J$24:$J$33,"&gt;"&amp;J29)</f>
        <v/>
      </c>
      <c r="L29">
        <f>$B29*(1-alpha*MAX(0,L$22-$C29))</f>
        <v/>
      </c>
      <c r="M29">
        <f>1+COUNTIF($L$24:$L$33,"&gt;"&amp;L29)</f>
        <v/>
      </c>
    </row>
    <row r="30">
      <c r="A30" t="inlineStr">
        <is>
          <t>LV</t>
        </is>
      </c>
      <c r="B30">
        <f>Processing_index!$Z$12</f>
        <v/>
      </c>
      <c r="C30">
        <f>Processing_index!$AA$12</f>
        <v/>
      </c>
      <c r="D30">
        <f>$B30*(1-alpha*MAX(0,D$22-$C30))</f>
        <v/>
      </c>
      <c r="E30">
        <f>1+COUNTIF($D$24:$D$33,"&gt;"&amp;D30)</f>
        <v/>
      </c>
      <c r="F30">
        <f>$B30*(1-alpha*MAX(0,F$22-$C30))</f>
        <v/>
      </c>
      <c r="G30">
        <f>1+COUNTIF($F$24:$F$33,"&gt;"&amp;F30)</f>
        <v/>
      </c>
      <c r="H30">
        <f>$B30*(1-alpha*MAX(0,H$22-$C30))</f>
        <v/>
      </c>
      <c r="I30">
        <f>1+COUNTIF($H$24:$H$33,"&gt;"&amp;H30)</f>
        <v/>
      </c>
      <c r="J30">
        <f>$B30*(1-alpha*MAX(0,J$22-$C30))</f>
        <v/>
      </c>
      <c r="K30">
        <f>1+COUNTIF($J$24:$J$33,"&gt;"&amp;J30)</f>
        <v/>
      </c>
      <c r="L30">
        <f>$B30*(1-alpha*MAX(0,L$22-$C30))</f>
        <v/>
      </c>
      <c r="M30">
        <f>1+COUNTIF($L$24:$L$33,"&gt;"&amp;L30)</f>
        <v/>
      </c>
    </row>
    <row r="31">
      <c r="A31" t="inlineStr">
        <is>
          <t>EE</t>
        </is>
      </c>
      <c r="B31">
        <f>Processing_index!$Z$13</f>
        <v/>
      </c>
      <c r="C31">
        <f>Processing_index!$AA$13</f>
        <v/>
      </c>
      <c r="D31">
        <f>$B31*(1-alpha*MAX(0,D$22-$C31))</f>
        <v/>
      </c>
      <c r="E31">
        <f>1+COUNTIF($D$24:$D$33,"&gt;"&amp;D31)</f>
        <v/>
      </c>
      <c r="F31">
        <f>$B31*(1-alpha*MAX(0,F$22-$C31))</f>
        <v/>
      </c>
      <c r="G31">
        <f>1+COUNTIF($F$24:$F$33,"&gt;"&amp;F31)</f>
        <v/>
      </c>
      <c r="H31">
        <f>$B31*(1-alpha*MAX(0,H$22-$C31))</f>
        <v/>
      </c>
      <c r="I31">
        <f>1+COUNTIF($H$24:$H$33,"&gt;"&amp;H31)</f>
        <v/>
      </c>
      <c r="J31">
        <f>$B31*(1-alpha*MAX(0,J$22-$C31))</f>
        <v/>
      </c>
      <c r="K31">
        <f>1+COUNTIF($J$24:$J$33,"&gt;"&amp;J31)</f>
        <v/>
      </c>
      <c r="L31">
        <f>$B31*(1-alpha*MAX(0,L$22-$C31))</f>
        <v/>
      </c>
      <c r="M31">
        <f>1+COUNTIF($L$24:$L$33,"&gt;"&amp;L31)</f>
        <v/>
      </c>
    </row>
    <row r="32">
      <c r="A32" t="inlineStr">
        <is>
          <t>BG</t>
        </is>
      </c>
      <c r="B32">
        <f>Processing_index!$Z$14</f>
        <v/>
      </c>
      <c r="C32">
        <f>Processing_index!$AA$14</f>
        <v/>
      </c>
      <c r="D32">
        <f>$B32*(1-alpha*MAX(0,D$22-$C32))</f>
        <v/>
      </c>
      <c r="E32">
        <f>1+COUNTIF($D$24:$D$33,"&gt;"&amp;D32)</f>
        <v/>
      </c>
      <c r="F32">
        <f>$B32*(1-alpha*MAX(0,F$22-$C32))</f>
        <v/>
      </c>
      <c r="G32">
        <f>1+COUNTIF($F$24:$F$33,"&gt;"&amp;F32)</f>
        <v/>
      </c>
      <c r="H32">
        <f>$B32*(1-alpha*MAX(0,H$22-$C32))</f>
        <v/>
      </c>
      <c r="I32">
        <f>1+COUNTIF($H$24:$H$33,"&gt;"&amp;H32)</f>
        <v/>
      </c>
      <c r="J32">
        <f>$B32*(1-alpha*MAX(0,J$22-$C32))</f>
        <v/>
      </c>
      <c r="K32">
        <f>1+COUNTIF($J$24:$J$33,"&gt;"&amp;J32)</f>
        <v/>
      </c>
      <c r="L32">
        <f>$B32*(1-alpha*MAX(0,L$22-$C32))</f>
        <v/>
      </c>
      <c r="M32">
        <f>1+COUNTIF($L$24:$L$33,"&gt;"&amp;L32)</f>
        <v/>
      </c>
    </row>
    <row r="33">
      <c r="A33" t="inlineStr">
        <is>
          <t>UA</t>
        </is>
      </c>
      <c r="B33">
        <f>Processing_index!$Z$15</f>
        <v/>
      </c>
      <c r="C33">
        <f>Processing_index!$AA$15</f>
        <v/>
      </c>
      <c r="D33">
        <f>$B33*(1-alpha*MAX(0,D$22-$C33))</f>
        <v/>
      </c>
      <c r="E33">
        <f>1+COUNTIF($D$24:$D$33,"&gt;"&amp;D33)</f>
        <v/>
      </c>
      <c r="F33">
        <f>$B33*(1-alpha*MAX(0,F$22-$C33))</f>
        <v/>
      </c>
      <c r="G33">
        <f>1+COUNTIF($F$24:$F$33,"&gt;"&amp;F33)</f>
        <v/>
      </c>
      <c r="H33">
        <f>$B33*(1-alpha*MAX(0,H$22-$C33))</f>
        <v/>
      </c>
      <c r="I33">
        <f>1+COUNTIF($H$24:$H$33,"&gt;"&amp;H33)</f>
        <v/>
      </c>
      <c r="J33">
        <f>$B33*(1-alpha*MAX(0,J$22-$C33))</f>
        <v/>
      </c>
      <c r="K33">
        <f>1+COUNTIF($J$24:$J$33,"&gt;"&amp;J33)</f>
        <v/>
      </c>
      <c r="L33">
        <f>$B33*(1-alpha*MAX(0,L$22-$C33))</f>
        <v/>
      </c>
      <c r="M33">
        <f>1+COUNTIF($L$24:$L$33,"&gt;"&amp;L33)</f>
        <v/>
      </c>
    </row>
    <row r="34">
      <c r="A34" s="3" t="inlineStr">
        <is>
          <t>Spearman with baseline</t>
        </is>
      </c>
      <c r="E34">
        <f>1-6*SUMPRODUCT((Processing_index!$AF$6:$AF$15-$E$24:$E$33)^2)/(10*(10^2-1))</f>
        <v/>
      </c>
      <c r="G34">
        <f>1-6*SUMPRODUCT((Processing_index!$AF$6:$AF$15-$G$24:$G$33)^2)/(10*(10^2-1))</f>
        <v/>
      </c>
      <c r="I34">
        <f>1-6*SUMPRODUCT((Processing_index!$AF$6:$AF$15-$I$24:$I$33)^2)/(10*(10^2-1))</f>
        <v/>
      </c>
      <c r="K34">
        <f>1-6*SUMPRODUCT((Processing_index!$AF$6:$AF$15-$K$24:$K$33)^2)/(10*(10^2-1))</f>
        <v/>
      </c>
      <c r="M34">
        <f>1-6*SUMPRODUCT((Processing_index!$AF$6:$AF$15-$M$24:$M$33)^2)/(10*(10^2-1))</f>
        <v/>
      </c>
    </row>
    <row r="35">
      <c r="A35" s="3" t="inlineStr">
        <is>
          <t>Units whose rank changed</t>
        </is>
      </c>
      <c r="E35">
        <f>SUMPRODUCT(--(Processing_index!$AF$6:$AF$15&lt;&gt;$E$24:$E$33))</f>
        <v/>
      </c>
      <c r="G35">
        <f>SUMPRODUCT(--(Processing_index!$AF$6:$AF$15&lt;&gt;$G$24:$G$33))</f>
        <v/>
      </c>
      <c r="I35">
        <f>SUMPRODUCT(--(Processing_index!$AF$6:$AF$15&lt;&gt;$I$24:$I$33))</f>
        <v/>
      </c>
      <c r="K35">
        <f>SUMPRODUCT(--(Processing_index!$AF$6:$AF$15&lt;&gt;$K$24:$K$33))</f>
        <v/>
      </c>
      <c r="M35">
        <f>SUMPRODUCT(--(Processing_index!$AF$6:$AF$15&lt;&gt;$M$24:$M$33))</f>
        <v/>
      </c>
    </row>
    <row r="36">
      <c r="A36" s="3" t="inlineStr">
        <is>
          <t>Penalised units (DM_min &lt; delta)</t>
        </is>
      </c>
      <c r="E36">
        <f>COUNTIF($C$24:$C$33,"&lt;"&amp;D$22)</f>
        <v/>
      </c>
      <c r="G36">
        <f>COUNTIF($C$24:$C$33,"&lt;"&amp;F$22)</f>
        <v/>
      </c>
      <c r="I36">
        <f>COUNTIF($C$24:$C$33,"&lt;"&amp;H$22)</f>
        <v/>
      </c>
      <c r="K36">
        <f>COUNTIF($C$24:$C$33,"&lt;"&amp;J$22)</f>
        <v/>
      </c>
      <c r="M36">
        <f>COUNTIF($C$24:$C$33,"&lt;"&amp;L$22)</f>
        <v/>
      </c>
    </row>
    <row r="39">
      <c r="A39" s="3" t="inlineStr">
        <is>
          <t>Geometric mean of the five layers</t>
        </is>
      </c>
    </row>
    <row r="40">
      <c r="A40" s="3" t="inlineStr">
        <is>
          <t>Unit</t>
        </is>
      </c>
      <c r="B40" s="3" t="inlineStr">
        <is>
          <t>Geometric mean</t>
        </is>
      </c>
      <c r="C40" s="3" t="inlineStr">
        <is>
          <t>Rank</t>
        </is>
      </c>
    </row>
    <row r="41">
      <c r="A41" t="inlineStr">
        <is>
          <t>PL</t>
        </is>
      </c>
      <c r="B41">
        <f>(Processing_index!$S$6*Processing_index!$T$6*Processing_index!$U$6*Processing_index!$V$6*Processing_index!$W$6)^(1/5)</f>
        <v/>
      </c>
      <c r="C41">
        <f>1+COUNTIF($B$41:$B$50,"&gt;"&amp;B41)</f>
        <v/>
      </c>
    </row>
    <row r="42">
      <c r="A42" t="inlineStr">
        <is>
          <t>HU</t>
        </is>
      </c>
      <c r="B42">
        <f>(Processing_index!$S$7*Processing_index!$T$7*Processing_index!$U$7*Processing_index!$V$7*Processing_index!$W$7)^(1/5)</f>
        <v/>
      </c>
      <c r="C42">
        <f>1+COUNTIF($B$41:$B$50,"&gt;"&amp;B42)</f>
        <v/>
      </c>
    </row>
    <row r="43">
      <c r="A43" t="inlineStr">
        <is>
          <t>RO</t>
        </is>
      </c>
      <c r="B43">
        <f>(Processing_index!$S$8*Processing_index!$T$8*Processing_index!$U$8*Processing_index!$V$8*Processing_index!$W$8)^(1/5)</f>
        <v/>
      </c>
      <c r="C43">
        <f>1+COUNTIF($B$41:$B$50,"&gt;"&amp;B43)</f>
        <v/>
      </c>
    </row>
    <row r="44">
      <c r="A44" t="inlineStr">
        <is>
          <t>CZ</t>
        </is>
      </c>
      <c r="B44">
        <f>(Processing_index!$S$9*Processing_index!$T$9*Processing_index!$U$9*Processing_index!$V$9*Processing_index!$W$9)^(1/5)</f>
        <v/>
      </c>
      <c r="C44">
        <f>1+COUNTIF($B$41:$B$50,"&gt;"&amp;B44)</f>
        <v/>
      </c>
    </row>
    <row r="45">
      <c r="A45" t="inlineStr">
        <is>
          <t>SK</t>
        </is>
      </c>
      <c r="B45">
        <f>(Processing_index!$S$10*Processing_index!$T$10*Processing_index!$U$10*Processing_index!$V$10*Processing_index!$W$10)^(1/5)</f>
        <v/>
      </c>
      <c r="C45">
        <f>1+COUNTIF($B$41:$B$50,"&gt;"&amp;B45)</f>
        <v/>
      </c>
    </row>
    <row r="46">
      <c r="A46" t="inlineStr">
        <is>
          <t>LT</t>
        </is>
      </c>
      <c r="B46">
        <f>(Processing_index!$S$11*Processing_index!$T$11*Processing_index!$U$11*Processing_index!$V$11*Processing_index!$W$11)^(1/5)</f>
        <v/>
      </c>
      <c r="C46">
        <f>1+COUNTIF($B$41:$B$50,"&gt;"&amp;B46)</f>
        <v/>
      </c>
    </row>
    <row r="47">
      <c r="A47" t="inlineStr">
        <is>
          <t>LV</t>
        </is>
      </c>
      <c r="B47">
        <f>(Processing_index!$S$12*Processing_index!$T$12*Processing_index!$U$12*Processing_index!$V$12*Processing_index!$W$12)^(1/5)</f>
        <v/>
      </c>
      <c r="C47">
        <f>1+COUNTIF($B$41:$B$50,"&gt;"&amp;B47)</f>
        <v/>
      </c>
    </row>
    <row r="48">
      <c r="A48" t="inlineStr">
        <is>
          <t>EE</t>
        </is>
      </c>
      <c r="B48">
        <f>(Processing_index!$S$13*Processing_index!$T$13*Processing_index!$U$13*Processing_index!$V$13*Processing_index!$W$13)^(1/5)</f>
        <v/>
      </c>
      <c r="C48">
        <f>1+COUNTIF($B$41:$B$50,"&gt;"&amp;B48)</f>
        <v/>
      </c>
    </row>
    <row r="49">
      <c r="A49" t="inlineStr">
        <is>
          <t>BG</t>
        </is>
      </c>
      <c r="B49">
        <f>(Processing_index!$S$14*Processing_index!$T$14*Processing_index!$U$14*Processing_index!$V$14*Processing_index!$W$14)^(1/5)</f>
        <v/>
      </c>
      <c r="C49">
        <f>1+COUNTIF($B$41:$B$50,"&gt;"&amp;B49)</f>
        <v/>
      </c>
    </row>
    <row r="50">
      <c r="A50" t="inlineStr">
        <is>
          <t>UA</t>
        </is>
      </c>
      <c r="B50">
        <f>(Processing_index!$S$15*Processing_index!$T$15*Processing_index!$U$15*Processing_index!$V$15*Processing_index!$W$15)^(1/5)</f>
        <v/>
      </c>
      <c r="C50">
        <f>1+COUNTIF($B$41:$B$50,"&gt;"&amp;B50)</f>
        <v/>
      </c>
    </row>
    <row r="51">
      <c r="A51" s="3" t="inlineStr">
        <is>
          <t>Spearman with baseline</t>
        </is>
      </c>
      <c r="B51">
        <f>1-6*SUMPRODUCT((Processing_index!$AF$6:$AF$15-$C$41:$C$50)^2)/(10*(10^2-1))</f>
        <v/>
      </c>
    </row>
    <row r="52">
      <c r="A52" s="3" t="inlineStr">
        <is>
          <t>Units whose rank changed</t>
        </is>
      </c>
      <c r="B52">
        <f>SUMPRODUCT(--(Processing_index!$AF$6:$AF$15&lt;&gt;$C$41:$C$50))</f>
        <v/>
      </c>
    </row>
    <row r="55">
      <c r="A55" s="3" t="inlineStr">
        <is>
          <t>Leave one indicator out: layers recomputed without the indicator</t>
        </is>
      </c>
    </row>
    <row r="56">
      <c r="A56" s="3" t="inlineStr">
        <is>
          <t>Indicator removed</t>
        </is>
      </c>
      <c r="B56" s="3" t="inlineStr">
        <is>
          <t>Spearman with baseline</t>
        </is>
      </c>
      <c r="C56" s="3" t="inlineStr">
        <is>
          <t>Units whose rank changed</t>
        </is>
      </c>
      <c r="D56" s="3" t="inlineStr">
        <is>
          <t>Ukraine rank</t>
        </is>
      </c>
      <c r="E56" s="3" t="inlineStr">
        <is>
          <t>Ukraine ADMI</t>
        </is>
      </c>
      <c r="F56" s="3" t="inlineStr">
        <is>
          <t>Block row</t>
        </is>
      </c>
    </row>
    <row r="57">
      <c r="A57" t="inlineStr">
        <is>
          <t>ERP</t>
        </is>
      </c>
      <c r="B57">
        <f>$B$84</f>
        <v/>
      </c>
      <c r="C57">
        <f>$B$85</f>
        <v/>
      </c>
      <c r="D57">
        <f>$K$83</f>
        <v/>
      </c>
      <c r="E57">
        <f>$J$83</f>
        <v/>
      </c>
      <c r="F57" t="n">
        <v>72</v>
      </c>
    </row>
    <row r="58">
      <c r="A58" t="inlineStr">
        <is>
          <t>IOT_PRODUCTION</t>
        </is>
      </c>
      <c r="B58">
        <f>$B$99</f>
        <v/>
      </c>
      <c r="C58">
        <f>$B$100</f>
        <v/>
      </c>
      <c r="D58">
        <f>$K$98</f>
        <v/>
      </c>
      <c r="E58">
        <f>$J$98</f>
        <v/>
      </c>
      <c r="F58" t="n">
        <v>87</v>
      </c>
    </row>
    <row r="59">
      <c r="A59" t="inlineStr">
        <is>
          <t>ICT_SECURITY_DOCUMENT</t>
        </is>
      </c>
      <c r="B59">
        <f>$B$114</f>
        <v/>
      </c>
      <c r="C59">
        <f>$B$115</f>
        <v/>
      </c>
      <c r="D59">
        <f>$K$113</f>
        <v/>
      </c>
      <c r="E59">
        <f>$J$113</f>
        <v/>
      </c>
      <c r="F59" t="n">
        <v>102</v>
      </c>
    </row>
    <row r="60">
      <c r="A60" t="inlineStr">
        <is>
          <t>ICT_TRAINING_ICT_SPECIALISTS</t>
        </is>
      </c>
      <c r="B60">
        <f>$B$129</f>
        <v/>
      </c>
      <c r="C60">
        <f>$B$130</f>
        <v/>
      </c>
      <c r="D60">
        <f>$K$128</f>
        <v/>
      </c>
      <c r="E60">
        <f>$J$128</f>
        <v/>
      </c>
      <c r="F60" t="n">
        <v>117</v>
      </c>
    </row>
    <row r="61">
      <c r="A61" t="inlineStr">
        <is>
          <t>ICT_TRAINING_OTHER_EMPLOYEES</t>
        </is>
      </c>
      <c r="B61">
        <f>$B$144</f>
        <v/>
      </c>
      <c r="C61">
        <f>$B$145</f>
        <v/>
      </c>
      <c r="D61">
        <f>$K$143</f>
        <v/>
      </c>
      <c r="E61">
        <f>$J$143</f>
        <v/>
      </c>
      <c r="F61" t="n">
        <v>132</v>
      </c>
    </row>
    <row r="62">
      <c r="A62" t="inlineStr">
        <is>
          <t>SUPPLY_CHAIN_DATA_EXCHANGE</t>
        </is>
      </c>
      <c r="B62">
        <f>$B$159</f>
        <v/>
      </c>
      <c r="C62">
        <f>$B$160</f>
        <v/>
      </c>
      <c r="D62">
        <f>$K$158</f>
        <v/>
      </c>
      <c r="E62">
        <f>$J$158</f>
        <v/>
      </c>
      <c r="F62" t="n">
        <v>147</v>
      </c>
    </row>
    <row r="63">
      <c r="A63" t="inlineStr">
        <is>
          <t>DATA_ANALYTICS</t>
        </is>
      </c>
      <c r="B63">
        <f>$B$174</f>
        <v/>
      </c>
      <c r="C63">
        <f>$B$175</f>
        <v/>
      </c>
      <c r="D63">
        <f>$K$173</f>
        <v/>
      </c>
      <c r="E63">
        <f>$J$173</f>
        <v/>
      </c>
      <c r="F63" t="n">
        <v>162</v>
      </c>
    </row>
    <row r="64">
      <c r="A64" t="inlineStr">
        <is>
          <t>IOT_ANY</t>
        </is>
      </c>
      <c r="B64">
        <f>$B$189</f>
        <v/>
      </c>
      <c r="C64">
        <f>$B$190</f>
        <v/>
      </c>
      <c r="D64">
        <f>$K$188</f>
        <v/>
      </c>
      <c r="E64">
        <f>$J$188</f>
        <v/>
      </c>
      <c r="F64" t="n">
        <v>177</v>
      </c>
    </row>
    <row r="65">
      <c r="A65" t="inlineStr">
        <is>
          <t>MOBILE_INTERNET</t>
        </is>
      </c>
      <c r="B65">
        <f>$B$204</f>
        <v/>
      </c>
      <c r="C65">
        <f>$B$205</f>
        <v/>
      </c>
      <c r="D65">
        <f>$K$203</f>
        <v/>
      </c>
      <c r="E65">
        <f>$J$203</f>
        <v/>
      </c>
      <c r="F65" t="n">
        <v>192</v>
      </c>
    </row>
    <row r="66">
      <c r="A66" t="inlineStr">
        <is>
          <t>PAID_CLOUD</t>
        </is>
      </c>
      <c r="B66">
        <f>$B$219</f>
        <v/>
      </c>
      <c r="C66">
        <f>$B$220</f>
        <v/>
      </c>
      <c r="D66">
        <f>$K$218</f>
        <v/>
      </c>
      <c r="E66">
        <f>$J$218</f>
        <v/>
      </c>
      <c r="F66" t="n">
        <v>207</v>
      </c>
    </row>
    <row r="67">
      <c r="A67" t="inlineStr">
        <is>
          <t>ECOMMERCE_SALES</t>
        </is>
      </c>
      <c r="B67">
        <f>$B$234</f>
        <v/>
      </c>
      <c r="C67">
        <f>$B$235</f>
        <v/>
      </c>
      <c r="D67">
        <f>$K$233</f>
        <v/>
      </c>
      <c r="E67">
        <f>$J$233</f>
        <v/>
      </c>
      <c r="F67" t="n">
        <v>222</v>
      </c>
    </row>
    <row r="68">
      <c r="A68" t="inlineStr">
        <is>
          <t>WEBSITE</t>
        </is>
      </c>
      <c r="B68">
        <f>$B$249</f>
        <v/>
      </c>
      <c r="C68">
        <f>$B$250</f>
        <v/>
      </c>
      <c r="D68">
        <f>$K$248</f>
        <v/>
      </c>
      <c r="E68">
        <f>$J$248</f>
        <v/>
      </c>
      <c r="F68" t="n">
        <v>237</v>
      </c>
    </row>
    <row r="69">
      <c r="A69" t="inlineStr">
        <is>
          <t>CRM</t>
        </is>
      </c>
      <c r="B69">
        <f>$B$264</f>
        <v/>
      </c>
      <c r="C69">
        <f>$B$265</f>
        <v/>
      </c>
      <c r="D69">
        <f>$K$263</f>
        <v/>
      </c>
      <c r="E69">
        <f>$J$263</f>
        <v/>
      </c>
      <c r="F69" t="n">
        <v>252</v>
      </c>
    </row>
    <row r="72">
      <c r="A72" s="3" t="inlineStr">
        <is>
          <t>Without ERP</t>
        </is>
      </c>
    </row>
    <row r="73">
      <c r="A73" s="3" t="inlineStr">
        <is>
          <t>Unit</t>
        </is>
      </c>
      <c r="B73" s="3" t="inlineStr">
        <is>
          <t>C</t>
        </is>
      </c>
      <c r="C73" s="3" t="inlineStr">
        <is>
          <t>L1</t>
        </is>
      </c>
      <c r="D73" s="3" t="inlineStr">
        <is>
          <t>L2</t>
        </is>
      </c>
      <c r="E73" s="3" t="inlineStr">
        <is>
          <t>L3</t>
        </is>
      </c>
      <c r="F73" s="3" t="inlineStr">
        <is>
          <t>L4</t>
        </is>
      </c>
      <c r="G73" s="3" t="inlineStr">
        <is>
          <t>ADMI_base</t>
        </is>
      </c>
      <c r="H73" s="3" t="inlineStr">
        <is>
          <t>DM_min</t>
        </is>
      </c>
      <c r="I73" s="3" t="inlineStr">
        <is>
          <t>Penalty</t>
        </is>
      </c>
      <c r="J73" s="3" t="inlineStr">
        <is>
          <t>ADMI</t>
        </is>
      </c>
      <c r="K73" s="3" t="inlineStr">
        <is>
          <t>Rank</t>
        </is>
      </c>
    </row>
    <row r="74">
      <c r="A74" t="inlineStr">
        <is>
          <t>PL</t>
        </is>
      </c>
      <c r="B74">
        <f>AVERAGE(Processing_index!$C$6,Processing_index!$D$6)</f>
        <v/>
      </c>
      <c r="C74">
        <f>Processing_index!$T$6</f>
        <v/>
      </c>
      <c r="D74">
        <f>Processing_index!$U$6</f>
        <v/>
      </c>
      <c r="E74">
        <f>Processing_index!$V$6</f>
        <v/>
      </c>
      <c r="F74">
        <f>Processing_index!$W$6</f>
        <v/>
      </c>
      <c r="G74">
        <f>AVERAGE(B74:F74)</f>
        <v/>
      </c>
      <c r="H74">
        <f>MIN(B74:F74)</f>
        <v/>
      </c>
      <c r="I74">
        <f>1-alpha*MAX(0,delta-H74)</f>
        <v/>
      </c>
      <c r="J74">
        <f>G74*I74</f>
        <v/>
      </c>
      <c r="K74">
        <f>1+COUNTIF($J$74:$J$83,"&gt;"&amp;J74)</f>
        <v/>
      </c>
    </row>
    <row r="75">
      <c r="A75" t="inlineStr">
        <is>
          <t>HU</t>
        </is>
      </c>
      <c r="B75">
        <f>AVERAGE(Processing_index!$C$7,Processing_index!$D$7)</f>
        <v/>
      </c>
      <c r="C75">
        <f>Processing_index!$T$7</f>
        <v/>
      </c>
      <c r="D75">
        <f>Processing_index!$U$7</f>
        <v/>
      </c>
      <c r="E75">
        <f>Processing_index!$V$7</f>
        <v/>
      </c>
      <c r="F75">
        <f>Processing_index!$W$7</f>
        <v/>
      </c>
      <c r="G75">
        <f>AVERAGE(B75:F75)</f>
        <v/>
      </c>
      <c r="H75">
        <f>MIN(B75:F75)</f>
        <v/>
      </c>
      <c r="I75">
        <f>1-alpha*MAX(0,delta-H75)</f>
        <v/>
      </c>
      <c r="J75">
        <f>G75*I75</f>
        <v/>
      </c>
      <c r="K75">
        <f>1+COUNTIF($J$74:$J$83,"&gt;"&amp;J75)</f>
        <v/>
      </c>
    </row>
    <row r="76">
      <c r="A76" t="inlineStr">
        <is>
          <t>RO</t>
        </is>
      </c>
      <c r="B76">
        <f>AVERAGE(Processing_index!$C$8,Processing_index!$D$8)</f>
        <v/>
      </c>
      <c r="C76">
        <f>Processing_index!$T$8</f>
        <v/>
      </c>
      <c r="D76">
        <f>Processing_index!$U$8</f>
        <v/>
      </c>
      <c r="E76">
        <f>Processing_index!$V$8</f>
        <v/>
      </c>
      <c r="F76">
        <f>Processing_index!$W$8</f>
        <v/>
      </c>
      <c r="G76">
        <f>AVERAGE(B76:F76)</f>
        <v/>
      </c>
      <c r="H76">
        <f>MIN(B76:F76)</f>
        <v/>
      </c>
      <c r="I76">
        <f>1-alpha*MAX(0,delta-H76)</f>
        <v/>
      </c>
      <c r="J76">
        <f>G76*I76</f>
        <v/>
      </c>
      <c r="K76">
        <f>1+COUNTIF($J$74:$J$83,"&gt;"&amp;J76)</f>
        <v/>
      </c>
    </row>
    <row r="77">
      <c r="A77" t="inlineStr">
        <is>
          <t>CZ</t>
        </is>
      </c>
      <c r="B77">
        <f>AVERAGE(Processing_index!$C$9,Processing_index!$D$9)</f>
        <v/>
      </c>
      <c r="C77">
        <f>Processing_index!$T$9</f>
        <v/>
      </c>
      <c r="D77">
        <f>Processing_index!$U$9</f>
        <v/>
      </c>
      <c r="E77">
        <f>Processing_index!$V$9</f>
        <v/>
      </c>
      <c r="F77">
        <f>Processing_index!$W$9</f>
        <v/>
      </c>
      <c r="G77">
        <f>AVERAGE(B77:F77)</f>
        <v/>
      </c>
      <c r="H77">
        <f>MIN(B77:F77)</f>
        <v/>
      </c>
      <c r="I77">
        <f>1-alpha*MAX(0,delta-H77)</f>
        <v/>
      </c>
      <c r="J77">
        <f>G77*I77</f>
        <v/>
      </c>
      <c r="K77">
        <f>1+COUNTIF($J$74:$J$83,"&gt;"&amp;J77)</f>
        <v/>
      </c>
    </row>
    <row r="78">
      <c r="A78" t="inlineStr">
        <is>
          <t>SK</t>
        </is>
      </c>
      <c r="B78">
        <f>AVERAGE(Processing_index!$C$10,Processing_index!$D$10)</f>
        <v/>
      </c>
      <c r="C78">
        <f>Processing_index!$T$10</f>
        <v/>
      </c>
      <c r="D78">
        <f>Processing_index!$U$10</f>
        <v/>
      </c>
      <c r="E78">
        <f>Processing_index!$V$10</f>
        <v/>
      </c>
      <c r="F78">
        <f>Processing_index!$W$10</f>
        <v/>
      </c>
      <c r="G78">
        <f>AVERAGE(B78:F78)</f>
        <v/>
      </c>
      <c r="H78">
        <f>MIN(B78:F78)</f>
        <v/>
      </c>
      <c r="I78">
        <f>1-alpha*MAX(0,delta-H78)</f>
        <v/>
      </c>
      <c r="J78">
        <f>G78*I78</f>
        <v/>
      </c>
      <c r="K78">
        <f>1+COUNTIF($J$74:$J$83,"&gt;"&amp;J78)</f>
        <v/>
      </c>
    </row>
    <row r="79">
      <c r="A79" t="inlineStr">
        <is>
          <t>LT</t>
        </is>
      </c>
      <c r="B79">
        <f>AVERAGE(Processing_index!$C$11,Processing_index!$D$11)</f>
        <v/>
      </c>
      <c r="C79">
        <f>Processing_index!$T$11</f>
        <v/>
      </c>
      <c r="D79">
        <f>Processing_index!$U$11</f>
        <v/>
      </c>
      <c r="E79">
        <f>Processing_index!$V$11</f>
        <v/>
      </c>
      <c r="F79">
        <f>Processing_index!$W$11</f>
        <v/>
      </c>
      <c r="G79">
        <f>AVERAGE(B79:F79)</f>
        <v/>
      </c>
      <c r="H79">
        <f>MIN(B79:F79)</f>
        <v/>
      </c>
      <c r="I79">
        <f>1-alpha*MAX(0,delta-H79)</f>
        <v/>
      </c>
      <c r="J79">
        <f>G79*I79</f>
        <v/>
      </c>
      <c r="K79">
        <f>1+COUNTIF($J$74:$J$83,"&gt;"&amp;J79)</f>
        <v/>
      </c>
    </row>
    <row r="80">
      <c r="A80" t="inlineStr">
        <is>
          <t>LV</t>
        </is>
      </c>
      <c r="B80">
        <f>AVERAGE(Processing_index!$C$12,Processing_index!$D$12)</f>
        <v/>
      </c>
      <c r="C80">
        <f>Processing_index!$T$12</f>
        <v/>
      </c>
      <c r="D80">
        <f>Processing_index!$U$12</f>
        <v/>
      </c>
      <c r="E80">
        <f>Processing_index!$V$12</f>
        <v/>
      </c>
      <c r="F80">
        <f>Processing_index!$W$12</f>
        <v/>
      </c>
      <c r="G80">
        <f>AVERAGE(B80:F80)</f>
        <v/>
      </c>
      <c r="H80">
        <f>MIN(B80:F80)</f>
        <v/>
      </c>
      <c r="I80">
        <f>1-alpha*MAX(0,delta-H80)</f>
        <v/>
      </c>
      <c r="J80">
        <f>G80*I80</f>
        <v/>
      </c>
      <c r="K80">
        <f>1+COUNTIF($J$74:$J$83,"&gt;"&amp;J80)</f>
        <v/>
      </c>
    </row>
    <row r="81">
      <c r="A81" t="inlineStr">
        <is>
          <t>EE</t>
        </is>
      </c>
      <c r="B81">
        <f>AVERAGE(Processing_index!$C$13,Processing_index!$D$13)</f>
        <v/>
      </c>
      <c r="C81">
        <f>Processing_index!$T$13</f>
        <v/>
      </c>
      <c r="D81">
        <f>Processing_index!$U$13</f>
        <v/>
      </c>
      <c r="E81">
        <f>Processing_index!$V$13</f>
        <v/>
      </c>
      <c r="F81">
        <f>Processing_index!$W$13</f>
        <v/>
      </c>
      <c r="G81">
        <f>AVERAGE(B81:F81)</f>
        <v/>
      </c>
      <c r="H81">
        <f>MIN(B81:F81)</f>
        <v/>
      </c>
      <c r="I81">
        <f>1-alpha*MAX(0,delta-H81)</f>
        <v/>
      </c>
      <c r="J81">
        <f>G81*I81</f>
        <v/>
      </c>
      <c r="K81">
        <f>1+COUNTIF($J$74:$J$83,"&gt;"&amp;J81)</f>
        <v/>
      </c>
    </row>
    <row r="82">
      <c r="A82" t="inlineStr">
        <is>
          <t>BG</t>
        </is>
      </c>
      <c r="B82">
        <f>AVERAGE(Processing_index!$C$14,Processing_index!$D$14)</f>
        <v/>
      </c>
      <c r="C82">
        <f>Processing_index!$T$14</f>
        <v/>
      </c>
      <c r="D82">
        <f>Processing_index!$U$14</f>
        <v/>
      </c>
      <c r="E82">
        <f>Processing_index!$V$14</f>
        <v/>
      </c>
      <c r="F82">
        <f>Processing_index!$W$14</f>
        <v/>
      </c>
      <c r="G82">
        <f>AVERAGE(B82:F82)</f>
        <v/>
      </c>
      <c r="H82">
        <f>MIN(B82:F82)</f>
        <v/>
      </c>
      <c r="I82">
        <f>1-alpha*MAX(0,delta-H82)</f>
        <v/>
      </c>
      <c r="J82">
        <f>G82*I82</f>
        <v/>
      </c>
      <c r="K82">
        <f>1+COUNTIF($J$74:$J$83,"&gt;"&amp;J82)</f>
        <v/>
      </c>
    </row>
    <row r="83">
      <c r="A83" t="inlineStr">
        <is>
          <t>UA</t>
        </is>
      </c>
      <c r="B83">
        <f>AVERAGE(Processing_index!$C$15,Processing_index!$D$15)</f>
        <v/>
      </c>
      <c r="C83">
        <f>Processing_index!$T$15</f>
        <v/>
      </c>
      <c r="D83">
        <f>Processing_index!$U$15</f>
        <v/>
      </c>
      <c r="E83">
        <f>Processing_index!$V$15</f>
        <v/>
      </c>
      <c r="F83">
        <f>Processing_index!$W$15</f>
        <v/>
      </c>
      <c r="G83">
        <f>AVERAGE(B83:F83)</f>
        <v/>
      </c>
      <c r="H83">
        <f>MIN(B83:F83)</f>
        <v/>
      </c>
      <c r="I83">
        <f>1-alpha*MAX(0,delta-H83)</f>
        <v/>
      </c>
      <c r="J83">
        <f>G83*I83</f>
        <v/>
      </c>
      <c r="K83">
        <f>1+COUNTIF($J$74:$J$83,"&gt;"&amp;J83)</f>
        <v/>
      </c>
    </row>
    <row r="84">
      <c r="A84" s="3" t="inlineStr">
        <is>
          <t>Spearman with baseline</t>
        </is>
      </c>
      <c r="B84">
        <f>1-6*SUMPRODUCT((Processing_index!$AF$6:$AF$15-$K$74:$K$83)^2)/(10*(10^2-1))</f>
        <v/>
      </c>
    </row>
    <row r="85">
      <c r="A85" s="3" t="inlineStr">
        <is>
          <t>Units whose rank changed</t>
        </is>
      </c>
      <c r="B85">
        <f>SUMPRODUCT(--(Processing_index!$AF$6:$AF$15&lt;&gt;$K$74:$K$83))</f>
        <v/>
      </c>
    </row>
    <row r="87">
      <c r="A87" s="3" t="inlineStr">
        <is>
          <t>Without IOT_PRODUCTION</t>
        </is>
      </c>
    </row>
    <row r="88">
      <c r="A88" s="3" t="inlineStr">
        <is>
          <t>Unit</t>
        </is>
      </c>
      <c r="B88" s="3" t="inlineStr">
        <is>
          <t>C</t>
        </is>
      </c>
      <c r="C88" s="3" t="inlineStr">
        <is>
          <t>L1</t>
        </is>
      </c>
      <c r="D88" s="3" t="inlineStr">
        <is>
          <t>L2</t>
        </is>
      </c>
      <c r="E88" s="3" t="inlineStr">
        <is>
          <t>L3</t>
        </is>
      </c>
      <c r="F88" s="3" t="inlineStr">
        <is>
          <t>L4</t>
        </is>
      </c>
      <c r="G88" s="3" t="inlineStr">
        <is>
          <t>ADMI_base</t>
        </is>
      </c>
      <c r="H88" s="3" t="inlineStr">
        <is>
          <t>DM_min</t>
        </is>
      </c>
      <c r="I88" s="3" t="inlineStr">
        <is>
          <t>Penalty</t>
        </is>
      </c>
      <c r="J88" s="3" t="inlineStr">
        <is>
          <t>ADMI</t>
        </is>
      </c>
      <c r="K88" s="3" t="inlineStr">
        <is>
          <t>Rank</t>
        </is>
      </c>
    </row>
    <row r="89">
      <c r="A89" t="inlineStr">
        <is>
          <t>PL</t>
        </is>
      </c>
      <c r="B89">
        <f>AVERAGE(Processing_index!$B$6,Processing_index!$D$6)</f>
        <v/>
      </c>
      <c r="C89">
        <f>Processing_index!$T$6</f>
        <v/>
      </c>
      <c r="D89">
        <f>Processing_index!$U$6</f>
        <v/>
      </c>
      <c r="E89">
        <f>Processing_index!$V$6</f>
        <v/>
      </c>
      <c r="F89">
        <f>Processing_index!$W$6</f>
        <v/>
      </c>
      <c r="G89">
        <f>AVERAGE(B89:F89)</f>
        <v/>
      </c>
      <c r="H89">
        <f>MIN(B89:F89)</f>
        <v/>
      </c>
      <c r="I89">
        <f>1-alpha*MAX(0,delta-H89)</f>
        <v/>
      </c>
      <c r="J89">
        <f>G89*I89</f>
        <v/>
      </c>
      <c r="K89">
        <f>1+COUNTIF($J$89:$J$98,"&gt;"&amp;J89)</f>
        <v/>
      </c>
    </row>
    <row r="90">
      <c r="A90" t="inlineStr">
        <is>
          <t>HU</t>
        </is>
      </c>
      <c r="B90">
        <f>AVERAGE(Processing_index!$B$7,Processing_index!$D$7)</f>
        <v/>
      </c>
      <c r="C90">
        <f>Processing_index!$T$7</f>
        <v/>
      </c>
      <c r="D90">
        <f>Processing_index!$U$7</f>
        <v/>
      </c>
      <c r="E90">
        <f>Processing_index!$V$7</f>
        <v/>
      </c>
      <c r="F90">
        <f>Processing_index!$W$7</f>
        <v/>
      </c>
      <c r="G90">
        <f>AVERAGE(B90:F90)</f>
        <v/>
      </c>
      <c r="H90">
        <f>MIN(B90:F90)</f>
        <v/>
      </c>
      <c r="I90">
        <f>1-alpha*MAX(0,delta-H90)</f>
        <v/>
      </c>
      <c r="J90">
        <f>G90*I90</f>
        <v/>
      </c>
      <c r="K90">
        <f>1+COUNTIF($J$89:$J$98,"&gt;"&amp;J90)</f>
        <v/>
      </c>
    </row>
    <row r="91">
      <c r="A91" t="inlineStr">
        <is>
          <t>RO</t>
        </is>
      </c>
      <c r="B91">
        <f>AVERAGE(Processing_index!$B$8,Processing_index!$D$8)</f>
        <v/>
      </c>
      <c r="C91">
        <f>Processing_index!$T$8</f>
        <v/>
      </c>
      <c r="D91">
        <f>Processing_index!$U$8</f>
        <v/>
      </c>
      <c r="E91">
        <f>Processing_index!$V$8</f>
        <v/>
      </c>
      <c r="F91">
        <f>Processing_index!$W$8</f>
        <v/>
      </c>
      <c r="G91">
        <f>AVERAGE(B91:F91)</f>
        <v/>
      </c>
      <c r="H91">
        <f>MIN(B91:F91)</f>
        <v/>
      </c>
      <c r="I91">
        <f>1-alpha*MAX(0,delta-H91)</f>
        <v/>
      </c>
      <c r="J91">
        <f>G91*I91</f>
        <v/>
      </c>
      <c r="K91">
        <f>1+COUNTIF($J$89:$J$98,"&gt;"&amp;J91)</f>
        <v/>
      </c>
    </row>
    <row r="92">
      <c r="A92" t="inlineStr">
        <is>
          <t>CZ</t>
        </is>
      </c>
      <c r="B92">
        <f>AVERAGE(Processing_index!$B$9,Processing_index!$D$9)</f>
        <v/>
      </c>
      <c r="C92">
        <f>Processing_index!$T$9</f>
        <v/>
      </c>
      <c r="D92">
        <f>Processing_index!$U$9</f>
        <v/>
      </c>
      <c r="E92">
        <f>Processing_index!$V$9</f>
        <v/>
      </c>
      <c r="F92">
        <f>Processing_index!$W$9</f>
        <v/>
      </c>
      <c r="G92">
        <f>AVERAGE(B92:F92)</f>
        <v/>
      </c>
      <c r="H92">
        <f>MIN(B92:F92)</f>
        <v/>
      </c>
      <c r="I92">
        <f>1-alpha*MAX(0,delta-H92)</f>
        <v/>
      </c>
      <c r="J92">
        <f>G92*I92</f>
        <v/>
      </c>
      <c r="K92">
        <f>1+COUNTIF($J$89:$J$98,"&gt;"&amp;J92)</f>
        <v/>
      </c>
    </row>
    <row r="93">
      <c r="A93" t="inlineStr">
        <is>
          <t>SK</t>
        </is>
      </c>
      <c r="B93">
        <f>AVERAGE(Processing_index!$B$10,Processing_index!$D$10)</f>
        <v/>
      </c>
      <c r="C93">
        <f>Processing_index!$T$10</f>
        <v/>
      </c>
      <c r="D93">
        <f>Processing_index!$U$10</f>
        <v/>
      </c>
      <c r="E93">
        <f>Processing_index!$V$10</f>
        <v/>
      </c>
      <c r="F93">
        <f>Processing_index!$W$10</f>
        <v/>
      </c>
      <c r="G93">
        <f>AVERAGE(B93:F93)</f>
        <v/>
      </c>
      <c r="H93">
        <f>MIN(B93:F93)</f>
        <v/>
      </c>
      <c r="I93">
        <f>1-alpha*MAX(0,delta-H93)</f>
        <v/>
      </c>
      <c r="J93">
        <f>G93*I93</f>
        <v/>
      </c>
      <c r="K93">
        <f>1+COUNTIF($J$89:$J$98,"&gt;"&amp;J93)</f>
        <v/>
      </c>
    </row>
    <row r="94">
      <c r="A94" t="inlineStr">
        <is>
          <t>LT</t>
        </is>
      </c>
      <c r="B94">
        <f>AVERAGE(Processing_index!$B$11,Processing_index!$D$11)</f>
        <v/>
      </c>
      <c r="C94">
        <f>Processing_index!$T$11</f>
        <v/>
      </c>
      <c r="D94">
        <f>Processing_index!$U$11</f>
        <v/>
      </c>
      <c r="E94">
        <f>Processing_index!$V$11</f>
        <v/>
      </c>
      <c r="F94">
        <f>Processing_index!$W$11</f>
        <v/>
      </c>
      <c r="G94">
        <f>AVERAGE(B94:F94)</f>
        <v/>
      </c>
      <c r="H94">
        <f>MIN(B94:F94)</f>
        <v/>
      </c>
      <c r="I94">
        <f>1-alpha*MAX(0,delta-H94)</f>
        <v/>
      </c>
      <c r="J94">
        <f>G94*I94</f>
        <v/>
      </c>
      <c r="K94">
        <f>1+COUNTIF($J$89:$J$98,"&gt;"&amp;J94)</f>
        <v/>
      </c>
    </row>
    <row r="95">
      <c r="A95" t="inlineStr">
        <is>
          <t>LV</t>
        </is>
      </c>
      <c r="B95">
        <f>AVERAGE(Processing_index!$B$12,Processing_index!$D$12)</f>
        <v/>
      </c>
      <c r="C95">
        <f>Processing_index!$T$12</f>
        <v/>
      </c>
      <c r="D95">
        <f>Processing_index!$U$12</f>
        <v/>
      </c>
      <c r="E95">
        <f>Processing_index!$V$12</f>
        <v/>
      </c>
      <c r="F95">
        <f>Processing_index!$W$12</f>
        <v/>
      </c>
      <c r="G95">
        <f>AVERAGE(B95:F95)</f>
        <v/>
      </c>
      <c r="H95">
        <f>MIN(B95:F95)</f>
        <v/>
      </c>
      <c r="I95">
        <f>1-alpha*MAX(0,delta-H95)</f>
        <v/>
      </c>
      <c r="J95">
        <f>G95*I95</f>
        <v/>
      </c>
      <c r="K95">
        <f>1+COUNTIF($J$89:$J$98,"&gt;"&amp;J95)</f>
        <v/>
      </c>
    </row>
    <row r="96">
      <c r="A96" t="inlineStr">
        <is>
          <t>EE</t>
        </is>
      </c>
      <c r="B96">
        <f>AVERAGE(Processing_index!$B$13,Processing_index!$D$13)</f>
        <v/>
      </c>
      <c r="C96">
        <f>Processing_index!$T$13</f>
        <v/>
      </c>
      <c r="D96">
        <f>Processing_index!$U$13</f>
        <v/>
      </c>
      <c r="E96">
        <f>Processing_index!$V$13</f>
        <v/>
      </c>
      <c r="F96">
        <f>Processing_index!$W$13</f>
        <v/>
      </c>
      <c r="G96">
        <f>AVERAGE(B96:F96)</f>
        <v/>
      </c>
      <c r="H96">
        <f>MIN(B96:F96)</f>
        <v/>
      </c>
      <c r="I96">
        <f>1-alpha*MAX(0,delta-H96)</f>
        <v/>
      </c>
      <c r="J96">
        <f>G96*I96</f>
        <v/>
      </c>
      <c r="K96">
        <f>1+COUNTIF($J$89:$J$98,"&gt;"&amp;J96)</f>
        <v/>
      </c>
    </row>
    <row r="97">
      <c r="A97" t="inlineStr">
        <is>
          <t>BG</t>
        </is>
      </c>
      <c r="B97">
        <f>AVERAGE(Processing_index!$B$14,Processing_index!$D$14)</f>
        <v/>
      </c>
      <c r="C97">
        <f>Processing_index!$T$14</f>
        <v/>
      </c>
      <c r="D97">
        <f>Processing_index!$U$14</f>
        <v/>
      </c>
      <c r="E97">
        <f>Processing_index!$V$14</f>
        <v/>
      </c>
      <c r="F97">
        <f>Processing_index!$W$14</f>
        <v/>
      </c>
      <c r="G97">
        <f>AVERAGE(B97:F97)</f>
        <v/>
      </c>
      <c r="H97">
        <f>MIN(B97:F97)</f>
        <v/>
      </c>
      <c r="I97">
        <f>1-alpha*MAX(0,delta-H97)</f>
        <v/>
      </c>
      <c r="J97">
        <f>G97*I97</f>
        <v/>
      </c>
      <c r="K97">
        <f>1+COUNTIF($J$89:$J$98,"&gt;"&amp;J97)</f>
        <v/>
      </c>
    </row>
    <row r="98">
      <c r="A98" t="inlineStr">
        <is>
          <t>UA</t>
        </is>
      </c>
      <c r="B98">
        <f>AVERAGE(Processing_index!$B$15,Processing_index!$D$15)</f>
        <v/>
      </c>
      <c r="C98">
        <f>Processing_index!$T$15</f>
        <v/>
      </c>
      <c r="D98">
        <f>Processing_index!$U$15</f>
        <v/>
      </c>
      <c r="E98">
        <f>Processing_index!$V$15</f>
        <v/>
      </c>
      <c r="F98">
        <f>Processing_index!$W$15</f>
        <v/>
      </c>
      <c r="G98">
        <f>AVERAGE(B98:F98)</f>
        <v/>
      </c>
      <c r="H98">
        <f>MIN(B98:F98)</f>
        <v/>
      </c>
      <c r="I98">
        <f>1-alpha*MAX(0,delta-H98)</f>
        <v/>
      </c>
      <c r="J98">
        <f>G98*I98</f>
        <v/>
      </c>
      <c r="K98">
        <f>1+COUNTIF($J$89:$J$98,"&gt;"&amp;J98)</f>
        <v/>
      </c>
    </row>
    <row r="99">
      <c r="A99" s="3" t="inlineStr">
        <is>
          <t>Spearman with baseline</t>
        </is>
      </c>
      <c r="B99">
        <f>1-6*SUMPRODUCT((Processing_index!$AF$6:$AF$15-$K$89:$K$98)^2)/(10*(10^2-1))</f>
        <v/>
      </c>
    </row>
    <row r="100">
      <c r="A100" s="3" t="inlineStr">
        <is>
          <t>Units whose rank changed</t>
        </is>
      </c>
      <c r="B100">
        <f>SUMPRODUCT(--(Processing_index!$AF$6:$AF$15&lt;&gt;$K$89:$K$98))</f>
        <v/>
      </c>
    </row>
    <row r="102">
      <c r="A102" s="3" t="inlineStr">
        <is>
          <t>Without ICT_SECURITY_DOCUMENT</t>
        </is>
      </c>
    </row>
    <row r="103">
      <c r="A103" s="3" t="inlineStr">
        <is>
          <t>Unit</t>
        </is>
      </c>
      <c r="B103" s="3" t="inlineStr">
        <is>
          <t>C</t>
        </is>
      </c>
      <c r="C103" s="3" t="inlineStr">
        <is>
          <t>L1</t>
        </is>
      </c>
      <c r="D103" s="3" t="inlineStr">
        <is>
          <t>L2</t>
        </is>
      </c>
      <c r="E103" s="3" t="inlineStr">
        <is>
          <t>L3</t>
        </is>
      </c>
      <c r="F103" s="3" t="inlineStr">
        <is>
          <t>L4</t>
        </is>
      </c>
      <c r="G103" s="3" t="inlineStr">
        <is>
          <t>ADMI_base</t>
        </is>
      </c>
      <c r="H103" s="3" t="inlineStr">
        <is>
          <t>DM_min</t>
        </is>
      </c>
      <c r="I103" s="3" t="inlineStr">
        <is>
          <t>Penalty</t>
        </is>
      </c>
      <c r="J103" s="3" t="inlineStr">
        <is>
          <t>ADMI</t>
        </is>
      </c>
      <c r="K103" s="3" t="inlineStr">
        <is>
          <t>Rank</t>
        </is>
      </c>
    </row>
    <row r="104">
      <c r="A104" t="inlineStr">
        <is>
          <t>PL</t>
        </is>
      </c>
      <c r="B104">
        <f>AVERAGE(Processing_index!$B$6,Processing_index!$C$6)</f>
        <v/>
      </c>
      <c r="C104">
        <f>Processing_index!$T$6</f>
        <v/>
      </c>
      <c r="D104">
        <f>Processing_index!$U$6</f>
        <v/>
      </c>
      <c r="E104">
        <f>Processing_index!$V$6</f>
        <v/>
      </c>
      <c r="F104">
        <f>Processing_index!$W$6</f>
        <v/>
      </c>
      <c r="G104">
        <f>AVERAGE(B104:F104)</f>
        <v/>
      </c>
      <c r="H104">
        <f>MIN(B104:F104)</f>
        <v/>
      </c>
      <c r="I104">
        <f>1-alpha*MAX(0,delta-H104)</f>
        <v/>
      </c>
      <c r="J104">
        <f>G104*I104</f>
        <v/>
      </c>
      <c r="K104">
        <f>1+COUNTIF($J$104:$J$113,"&gt;"&amp;J104)</f>
        <v/>
      </c>
    </row>
    <row r="105">
      <c r="A105" t="inlineStr">
        <is>
          <t>HU</t>
        </is>
      </c>
      <c r="B105">
        <f>AVERAGE(Processing_index!$B$7,Processing_index!$C$7)</f>
        <v/>
      </c>
      <c r="C105">
        <f>Processing_index!$T$7</f>
        <v/>
      </c>
      <c r="D105">
        <f>Processing_index!$U$7</f>
        <v/>
      </c>
      <c r="E105">
        <f>Processing_index!$V$7</f>
        <v/>
      </c>
      <c r="F105">
        <f>Processing_index!$W$7</f>
        <v/>
      </c>
      <c r="G105">
        <f>AVERAGE(B105:F105)</f>
        <v/>
      </c>
      <c r="H105">
        <f>MIN(B105:F105)</f>
        <v/>
      </c>
      <c r="I105">
        <f>1-alpha*MAX(0,delta-H105)</f>
        <v/>
      </c>
      <c r="J105">
        <f>G105*I105</f>
        <v/>
      </c>
      <c r="K105">
        <f>1+COUNTIF($J$104:$J$113,"&gt;"&amp;J105)</f>
        <v/>
      </c>
    </row>
    <row r="106">
      <c r="A106" t="inlineStr">
        <is>
          <t>RO</t>
        </is>
      </c>
      <c r="B106">
        <f>AVERAGE(Processing_index!$B$8,Processing_index!$C$8)</f>
        <v/>
      </c>
      <c r="C106">
        <f>Processing_index!$T$8</f>
        <v/>
      </c>
      <c r="D106">
        <f>Processing_index!$U$8</f>
        <v/>
      </c>
      <c r="E106">
        <f>Processing_index!$V$8</f>
        <v/>
      </c>
      <c r="F106">
        <f>Processing_index!$W$8</f>
        <v/>
      </c>
      <c r="G106">
        <f>AVERAGE(B106:F106)</f>
        <v/>
      </c>
      <c r="H106">
        <f>MIN(B106:F106)</f>
        <v/>
      </c>
      <c r="I106">
        <f>1-alpha*MAX(0,delta-H106)</f>
        <v/>
      </c>
      <c r="J106">
        <f>G106*I106</f>
        <v/>
      </c>
      <c r="K106">
        <f>1+COUNTIF($J$104:$J$113,"&gt;"&amp;J106)</f>
        <v/>
      </c>
    </row>
    <row r="107">
      <c r="A107" t="inlineStr">
        <is>
          <t>CZ</t>
        </is>
      </c>
      <c r="B107">
        <f>AVERAGE(Processing_index!$B$9,Processing_index!$C$9)</f>
        <v/>
      </c>
      <c r="C107">
        <f>Processing_index!$T$9</f>
        <v/>
      </c>
      <c r="D107">
        <f>Processing_index!$U$9</f>
        <v/>
      </c>
      <c r="E107">
        <f>Processing_index!$V$9</f>
        <v/>
      </c>
      <c r="F107">
        <f>Processing_index!$W$9</f>
        <v/>
      </c>
      <c r="G107">
        <f>AVERAGE(B107:F107)</f>
        <v/>
      </c>
      <c r="H107">
        <f>MIN(B107:F107)</f>
        <v/>
      </c>
      <c r="I107">
        <f>1-alpha*MAX(0,delta-H107)</f>
        <v/>
      </c>
      <c r="J107">
        <f>G107*I107</f>
        <v/>
      </c>
      <c r="K107">
        <f>1+COUNTIF($J$104:$J$113,"&gt;"&amp;J107)</f>
        <v/>
      </c>
    </row>
    <row r="108">
      <c r="A108" t="inlineStr">
        <is>
          <t>SK</t>
        </is>
      </c>
      <c r="B108">
        <f>AVERAGE(Processing_index!$B$10,Processing_index!$C$10)</f>
        <v/>
      </c>
      <c r="C108">
        <f>Processing_index!$T$10</f>
        <v/>
      </c>
      <c r="D108">
        <f>Processing_index!$U$10</f>
        <v/>
      </c>
      <c r="E108">
        <f>Processing_index!$V$10</f>
        <v/>
      </c>
      <c r="F108">
        <f>Processing_index!$W$10</f>
        <v/>
      </c>
      <c r="G108">
        <f>AVERAGE(B108:F108)</f>
        <v/>
      </c>
      <c r="H108">
        <f>MIN(B108:F108)</f>
        <v/>
      </c>
      <c r="I108">
        <f>1-alpha*MAX(0,delta-H108)</f>
        <v/>
      </c>
      <c r="J108">
        <f>G108*I108</f>
        <v/>
      </c>
      <c r="K108">
        <f>1+COUNTIF($J$104:$J$113,"&gt;"&amp;J108)</f>
        <v/>
      </c>
    </row>
    <row r="109">
      <c r="A109" t="inlineStr">
        <is>
          <t>LT</t>
        </is>
      </c>
      <c r="B109">
        <f>AVERAGE(Processing_index!$B$11,Processing_index!$C$11)</f>
        <v/>
      </c>
      <c r="C109">
        <f>Processing_index!$T$11</f>
        <v/>
      </c>
      <c r="D109">
        <f>Processing_index!$U$11</f>
        <v/>
      </c>
      <c r="E109">
        <f>Processing_index!$V$11</f>
        <v/>
      </c>
      <c r="F109">
        <f>Processing_index!$W$11</f>
        <v/>
      </c>
      <c r="G109">
        <f>AVERAGE(B109:F109)</f>
        <v/>
      </c>
      <c r="H109">
        <f>MIN(B109:F109)</f>
        <v/>
      </c>
      <c r="I109">
        <f>1-alpha*MAX(0,delta-H109)</f>
        <v/>
      </c>
      <c r="J109">
        <f>G109*I109</f>
        <v/>
      </c>
      <c r="K109">
        <f>1+COUNTIF($J$104:$J$113,"&gt;"&amp;J109)</f>
        <v/>
      </c>
    </row>
    <row r="110">
      <c r="A110" t="inlineStr">
        <is>
          <t>LV</t>
        </is>
      </c>
      <c r="B110">
        <f>AVERAGE(Processing_index!$B$12,Processing_index!$C$12)</f>
        <v/>
      </c>
      <c r="C110">
        <f>Processing_index!$T$12</f>
        <v/>
      </c>
      <c r="D110">
        <f>Processing_index!$U$12</f>
        <v/>
      </c>
      <c r="E110">
        <f>Processing_index!$V$12</f>
        <v/>
      </c>
      <c r="F110">
        <f>Processing_index!$W$12</f>
        <v/>
      </c>
      <c r="G110">
        <f>AVERAGE(B110:F110)</f>
        <v/>
      </c>
      <c r="H110">
        <f>MIN(B110:F110)</f>
        <v/>
      </c>
      <c r="I110">
        <f>1-alpha*MAX(0,delta-H110)</f>
        <v/>
      </c>
      <c r="J110">
        <f>G110*I110</f>
        <v/>
      </c>
      <c r="K110">
        <f>1+COUNTIF($J$104:$J$113,"&gt;"&amp;J110)</f>
        <v/>
      </c>
    </row>
    <row r="111">
      <c r="A111" t="inlineStr">
        <is>
          <t>EE</t>
        </is>
      </c>
      <c r="B111">
        <f>AVERAGE(Processing_index!$B$13,Processing_index!$C$13)</f>
        <v/>
      </c>
      <c r="C111">
        <f>Processing_index!$T$13</f>
        <v/>
      </c>
      <c r="D111">
        <f>Processing_index!$U$13</f>
        <v/>
      </c>
      <c r="E111">
        <f>Processing_index!$V$13</f>
        <v/>
      </c>
      <c r="F111">
        <f>Processing_index!$W$13</f>
        <v/>
      </c>
      <c r="G111">
        <f>AVERAGE(B111:F111)</f>
        <v/>
      </c>
      <c r="H111">
        <f>MIN(B111:F111)</f>
        <v/>
      </c>
      <c r="I111">
        <f>1-alpha*MAX(0,delta-H111)</f>
        <v/>
      </c>
      <c r="J111">
        <f>G111*I111</f>
        <v/>
      </c>
      <c r="K111">
        <f>1+COUNTIF($J$104:$J$113,"&gt;"&amp;J111)</f>
        <v/>
      </c>
    </row>
    <row r="112">
      <c r="A112" t="inlineStr">
        <is>
          <t>BG</t>
        </is>
      </c>
      <c r="B112">
        <f>AVERAGE(Processing_index!$B$14,Processing_index!$C$14)</f>
        <v/>
      </c>
      <c r="C112">
        <f>Processing_index!$T$14</f>
        <v/>
      </c>
      <c r="D112">
        <f>Processing_index!$U$14</f>
        <v/>
      </c>
      <c r="E112">
        <f>Processing_index!$V$14</f>
        <v/>
      </c>
      <c r="F112">
        <f>Processing_index!$W$14</f>
        <v/>
      </c>
      <c r="G112">
        <f>AVERAGE(B112:F112)</f>
        <v/>
      </c>
      <c r="H112">
        <f>MIN(B112:F112)</f>
        <v/>
      </c>
      <c r="I112">
        <f>1-alpha*MAX(0,delta-H112)</f>
        <v/>
      </c>
      <c r="J112">
        <f>G112*I112</f>
        <v/>
      </c>
      <c r="K112">
        <f>1+COUNTIF($J$104:$J$113,"&gt;"&amp;J112)</f>
        <v/>
      </c>
    </row>
    <row r="113">
      <c r="A113" t="inlineStr">
        <is>
          <t>UA</t>
        </is>
      </c>
      <c r="B113">
        <f>AVERAGE(Processing_index!$B$15,Processing_index!$C$15)</f>
        <v/>
      </c>
      <c r="C113">
        <f>Processing_index!$T$15</f>
        <v/>
      </c>
      <c r="D113">
        <f>Processing_index!$U$15</f>
        <v/>
      </c>
      <c r="E113">
        <f>Processing_index!$V$15</f>
        <v/>
      </c>
      <c r="F113">
        <f>Processing_index!$W$15</f>
        <v/>
      </c>
      <c r="G113">
        <f>AVERAGE(B113:F113)</f>
        <v/>
      </c>
      <c r="H113">
        <f>MIN(B113:F113)</f>
        <v/>
      </c>
      <c r="I113">
        <f>1-alpha*MAX(0,delta-H113)</f>
        <v/>
      </c>
      <c r="J113">
        <f>G113*I113</f>
        <v/>
      </c>
      <c r="K113">
        <f>1+COUNTIF($J$104:$J$113,"&gt;"&amp;J113)</f>
        <v/>
      </c>
    </row>
    <row r="114">
      <c r="A114" s="3" t="inlineStr">
        <is>
          <t>Spearman with baseline</t>
        </is>
      </c>
      <c r="B114">
        <f>1-6*SUMPRODUCT((Processing_index!$AF$6:$AF$15-$K$104:$K$113)^2)/(10*(10^2-1))</f>
        <v/>
      </c>
    </row>
    <row r="115">
      <c r="A115" s="3" t="inlineStr">
        <is>
          <t>Units whose rank changed</t>
        </is>
      </c>
      <c r="B115">
        <f>SUMPRODUCT(--(Processing_index!$AF$6:$AF$15&lt;&gt;$K$104:$K$113))</f>
        <v/>
      </c>
    </row>
    <row r="117">
      <c r="A117" s="3" t="inlineStr">
        <is>
          <t>Without ICT_TRAINING_ICT_SPECIALISTS</t>
        </is>
      </c>
    </row>
    <row r="118">
      <c r="A118" s="3" t="inlineStr">
        <is>
          <t>Unit</t>
        </is>
      </c>
      <c r="B118" s="3" t="inlineStr">
        <is>
          <t>C</t>
        </is>
      </c>
      <c r="C118" s="3" t="inlineStr">
        <is>
          <t>L1</t>
        </is>
      </c>
      <c r="D118" s="3" t="inlineStr">
        <is>
          <t>L2</t>
        </is>
      </c>
      <c r="E118" s="3" t="inlineStr">
        <is>
          <t>L3</t>
        </is>
      </c>
      <c r="F118" s="3" t="inlineStr">
        <is>
          <t>L4</t>
        </is>
      </c>
      <c r="G118" s="3" t="inlineStr">
        <is>
          <t>ADMI_base</t>
        </is>
      </c>
      <c r="H118" s="3" t="inlineStr">
        <is>
          <t>DM_min</t>
        </is>
      </c>
      <c r="I118" s="3" t="inlineStr">
        <is>
          <t>Penalty</t>
        </is>
      </c>
      <c r="J118" s="3" t="inlineStr">
        <is>
          <t>ADMI</t>
        </is>
      </c>
      <c r="K118" s="3" t="inlineStr">
        <is>
          <t>Rank</t>
        </is>
      </c>
    </row>
    <row r="119">
      <c r="A119" t="inlineStr">
        <is>
          <t>PL</t>
        </is>
      </c>
      <c r="B119">
        <f>Processing_index!$S$6</f>
        <v/>
      </c>
      <c r="C119">
        <f>AVERAGE(Processing_index!$F$6)</f>
        <v/>
      </c>
      <c r="D119">
        <f>Processing_index!$U$6</f>
        <v/>
      </c>
      <c r="E119">
        <f>Processing_index!$V$6</f>
        <v/>
      </c>
      <c r="F119">
        <f>Processing_index!$W$6</f>
        <v/>
      </c>
      <c r="G119">
        <f>AVERAGE(B119:F119)</f>
        <v/>
      </c>
      <c r="H119">
        <f>MIN(B119:F119)</f>
        <v/>
      </c>
      <c r="I119">
        <f>1-alpha*MAX(0,delta-H119)</f>
        <v/>
      </c>
      <c r="J119">
        <f>G119*I119</f>
        <v/>
      </c>
      <c r="K119">
        <f>1+COUNTIF($J$119:$J$128,"&gt;"&amp;J119)</f>
        <v/>
      </c>
    </row>
    <row r="120">
      <c r="A120" t="inlineStr">
        <is>
          <t>HU</t>
        </is>
      </c>
      <c r="B120">
        <f>Processing_index!$S$7</f>
        <v/>
      </c>
      <c r="C120">
        <f>AVERAGE(Processing_index!$F$7)</f>
        <v/>
      </c>
      <c r="D120">
        <f>Processing_index!$U$7</f>
        <v/>
      </c>
      <c r="E120">
        <f>Processing_index!$V$7</f>
        <v/>
      </c>
      <c r="F120">
        <f>Processing_index!$W$7</f>
        <v/>
      </c>
      <c r="G120">
        <f>AVERAGE(B120:F120)</f>
        <v/>
      </c>
      <c r="H120">
        <f>MIN(B120:F120)</f>
        <v/>
      </c>
      <c r="I120">
        <f>1-alpha*MAX(0,delta-H120)</f>
        <v/>
      </c>
      <c r="J120">
        <f>G120*I120</f>
        <v/>
      </c>
      <c r="K120">
        <f>1+COUNTIF($J$119:$J$128,"&gt;"&amp;J120)</f>
        <v/>
      </c>
    </row>
    <row r="121">
      <c r="A121" t="inlineStr">
        <is>
          <t>RO</t>
        </is>
      </c>
      <c r="B121">
        <f>Processing_index!$S$8</f>
        <v/>
      </c>
      <c r="C121">
        <f>AVERAGE(Processing_index!$F$8)</f>
        <v/>
      </c>
      <c r="D121">
        <f>Processing_index!$U$8</f>
        <v/>
      </c>
      <c r="E121">
        <f>Processing_index!$V$8</f>
        <v/>
      </c>
      <c r="F121">
        <f>Processing_index!$W$8</f>
        <v/>
      </c>
      <c r="G121">
        <f>AVERAGE(B121:F121)</f>
        <v/>
      </c>
      <c r="H121">
        <f>MIN(B121:F121)</f>
        <v/>
      </c>
      <c r="I121">
        <f>1-alpha*MAX(0,delta-H121)</f>
        <v/>
      </c>
      <c r="J121">
        <f>G121*I121</f>
        <v/>
      </c>
      <c r="K121">
        <f>1+COUNTIF($J$119:$J$128,"&gt;"&amp;J121)</f>
        <v/>
      </c>
    </row>
    <row r="122">
      <c r="A122" t="inlineStr">
        <is>
          <t>CZ</t>
        </is>
      </c>
      <c r="B122">
        <f>Processing_index!$S$9</f>
        <v/>
      </c>
      <c r="C122">
        <f>AVERAGE(Processing_index!$F$9)</f>
        <v/>
      </c>
      <c r="D122">
        <f>Processing_index!$U$9</f>
        <v/>
      </c>
      <c r="E122">
        <f>Processing_index!$V$9</f>
        <v/>
      </c>
      <c r="F122">
        <f>Processing_index!$W$9</f>
        <v/>
      </c>
      <c r="G122">
        <f>AVERAGE(B122:F122)</f>
        <v/>
      </c>
      <c r="H122">
        <f>MIN(B122:F122)</f>
        <v/>
      </c>
      <c r="I122">
        <f>1-alpha*MAX(0,delta-H122)</f>
        <v/>
      </c>
      <c r="J122">
        <f>G122*I122</f>
        <v/>
      </c>
      <c r="K122">
        <f>1+COUNTIF($J$119:$J$128,"&gt;"&amp;J122)</f>
        <v/>
      </c>
    </row>
    <row r="123">
      <c r="A123" t="inlineStr">
        <is>
          <t>SK</t>
        </is>
      </c>
      <c r="B123">
        <f>Processing_index!$S$10</f>
        <v/>
      </c>
      <c r="C123">
        <f>AVERAGE(Processing_index!$F$10)</f>
        <v/>
      </c>
      <c r="D123">
        <f>Processing_index!$U$10</f>
        <v/>
      </c>
      <c r="E123">
        <f>Processing_index!$V$10</f>
        <v/>
      </c>
      <c r="F123">
        <f>Processing_index!$W$10</f>
        <v/>
      </c>
      <c r="G123">
        <f>AVERAGE(B123:F123)</f>
        <v/>
      </c>
      <c r="H123">
        <f>MIN(B123:F123)</f>
        <v/>
      </c>
      <c r="I123">
        <f>1-alpha*MAX(0,delta-H123)</f>
        <v/>
      </c>
      <c r="J123">
        <f>G123*I123</f>
        <v/>
      </c>
      <c r="K123">
        <f>1+COUNTIF($J$119:$J$128,"&gt;"&amp;J123)</f>
        <v/>
      </c>
    </row>
    <row r="124">
      <c r="A124" t="inlineStr">
        <is>
          <t>LT</t>
        </is>
      </c>
      <c r="B124">
        <f>Processing_index!$S$11</f>
        <v/>
      </c>
      <c r="C124">
        <f>AVERAGE(Processing_index!$F$11)</f>
        <v/>
      </c>
      <c r="D124">
        <f>Processing_index!$U$11</f>
        <v/>
      </c>
      <c r="E124">
        <f>Processing_index!$V$11</f>
        <v/>
      </c>
      <c r="F124">
        <f>Processing_index!$W$11</f>
        <v/>
      </c>
      <c r="G124">
        <f>AVERAGE(B124:F124)</f>
        <v/>
      </c>
      <c r="H124">
        <f>MIN(B124:F124)</f>
        <v/>
      </c>
      <c r="I124">
        <f>1-alpha*MAX(0,delta-H124)</f>
        <v/>
      </c>
      <c r="J124">
        <f>G124*I124</f>
        <v/>
      </c>
      <c r="K124">
        <f>1+COUNTIF($J$119:$J$128,"&gt;"&amp;J124)</f>
        <v/>
      </c>
    </row>
    <row r="125">
      <c r="A125" t="inlineStr">
        <is>
          <t>LV</t>
        </is>
      </c>
      <c r="B125">
        <f>Processing_index!$S$12</f>
        <v/>
      </c>
      <c r="C125">
        <f>AVERAGE(Processing_index!$F$12)</f>
        <v/>
      </c>
      <c r="D125">
        <f>Processing_index!$U$12</f>
        <v/>
      </c>
      <c r="E125">
        <f>Processing_index!$V$12</f>
        <v/>
      </c>
      <c r="F125">
        <f>Processing_index!$W$12</f>
        <v/>
      </c>
      <c r="G125">
        <f>AVERAGE(B125:F125)</f>
        <v/>
      </c>
      <c r="H125">
        <f>MIN(B125:F125)</f>
        <v/>
      </c>
      <c r="I125">
        <f>1-alpha*MAX(0,delta-H125)</f>
        <v/>
      </c>
      <c r="J125">
        <f>G125*I125</f>
        <v/>
      </c>
      <c r="K125">
        <f>1+COUNTIF($J$119:$J$128,"&gt;"&amp;J125)</f>
        <v/>
      </c>
    </row>
    <row r="126">
      <c r="A126" t="inlineStr">
        <is>
          <t>EE</t>
        </is>
      </c>
      <c r="B126">
        <f>Processing_index!$S$13</f>
        <v/>
      </c>
      <c r="C126">
        <f>AVERAGE(Processing_index!$F$13)</f>
        <v/>
      </c>
      <c r="D126">
        <f>Processing_index!$U$13</f>
        <v/>
      </c>
      <c r="E126">
        <f>Processing_index!$V$13</f>
        <v/>
      </c>
      <c r="F126">
        <f>Processing_index!$W$13</f>
        <v/>
      </c>
      <c r="G126">
        <f>AVERAGE(B126:F126)</f>
        <v/>
      </c>
      <c r="H126">
        <f>MIN(B126:F126)</f>
        <v/>
      </c>
      <c r="I126">
        <f>1-alpha*MAX(0,delta-H126)</f>
        <v/>
      </c>
      <c r="J126">
        <f>G126*I126</f>
        <v/>
      </c>
      <c r="K126">
        <f>1+COUNTIF($J$119:$J$128,"&gt;"&amp;J126)</f>
        <v/>
      </c>
    </row>
    <row r="127">
      <c r="A127" t="inlineStr">
        <is>
          <t>BG</t>
        </is>
      </c>
      <c r="B127">
        <f>Processing_index!$S$14</f>
        <v/>
      </c>
      <c r="C127">
        <f>AVERAGE(Processing_index!$F$14)</f>
        <v/>
      </c>
      <c r="D127">
        <f>Processing_index!$U$14</f>
        <v/>
      </c>
      <c r="E127">
        <f>Processing_index!$V$14</f>
        <v/>
      </c>
      <c r="F127">
        <f>Processing_index!$W$14</f>
        <v/>
      </c>
      <c r="G127">
        <f>AVERAGE(B127:F127)</f>
        <v/>
      </c>
      <c r="H127">
        <f>MIN(B127:F127)</f>
        <v/>
      </c>
      <c r="I127">
        <f>1-alpha*MAX(0,delta-H127)</f>
        <v/>
      </c>
      <c r="J127">
        <f>G127*I127</f>
        <v/>
      </c>
      <c r="K127">
        <f>1+COUNTIF($J$119:$J$128,"&gt;"&amp;J127)</f>
        <v/>
      </c>
    </row>
    <row r="128">
      <c r="A128" t="inlineStr">
        <is>
          <t>UA</t>
        </is>
      </c>
      <c r="B128">
        <f>Processing_index!$S$15</f>
        <v/>
      </c>
      <c r="C128">
        <f>AVERAGE(Processing_index!$F$15)</f>
        <v/>
      </c>
      <c r="D128">
        <f>Processing_index!$U$15</f>
        <v/>
      </c>
      <c r="E128">
        <f>Processing_index!$V$15</f>
        <v/>
      </c>
      <c r="F128">
        <f>Processing_index!$W$15</f>
        <v/>
      </c>
      <c r="G128">
        <f>AVERAGE(B128:F128)</f>
        <v/>
      </c>
      <c r="H128">
        <f>MIN(B128:F128)</f>
        <v/>
      </c>
      <c r="I128">
        <f>1-alpha*MAX(0,delta-H128)</f>
        <v/>
      </c>
      <c r="J128">
        <f>G128*I128</f>
        <v/>
      </c>
      <c r="K128">
        <f>1+COUNTIF($J$119:$J$128,"&gt;"&amp;J128)</f>
        <v/>
      </c>
    </row>
    <row r="129">
      <c r="A129" s="3" t="inlineStr">
        <is>
          <t>Spearman with baseline</t>
        </is>
      </c>
      <c r="B129">
        <f>1-6*SUMPRODUCT((Processing_index!$AF$6:$AF$15-$K$119:$K$128)^2)/(10*(10^2-1))</f>
        <v/>
      </c>
    </row>
    <row r="130">
      <c r="A130" s="3" t="inlineStr">
        <is>
          <t>Units whose rank changed</t>
        </is>
      </c>
      <c r="B130">
        <f>SUMPRODUCT(--(Processing_index!$AF$6:$AF$15&lt;&gt;$K$119:$K$128))</f>
        <v/>
      </c>
    </row>
    <row r="132">
      <c r="A132" s="3" t="inlineStr">
        <is>
          <t>Without ICT_TRAINING_OTHER_EMPLOYEES</t>
        </is>
      </c>
    </row>
    <row r="133">
      <c r="A133" s="3" t="inlineStr">
        <is>
          <t>Unit</t>
        </is>
      </c>
      <c r="B133" s="3" t="inlineStr">
        <is>
          <t>C</t>
        </is>
      </c>
      <c r="C133" s="3" t="inlineStr">
        <is>
          <t>L1</t>
        </is>
      </c>
      <c r="D133" s="3" t="inlineStr">
        <is>
          <t>L2</t>
        </is>
      </c>
      <c r="E133" s="3" t="inlineStr">
        <is>
          <t>L3</t>
        </is>
      </c>
      <c r="F133" s="3" t="inlineStr">
        <is>
          <t>L4</t>
        </is>
      </c>
      <c r="G133" s="3" t="inlineStr">
        <is>
          <t>ADMI_base</t>
        </is>
      </c>
      <c r="H133" s="3" t="inlineStr">
        <is>
          <t>DM_min</t>
        </is>
      </c>
      <c r="I133" s="3" t="inlineStr">
        <is>
          <t>Penalty</t>
        </is>
      </c>
      <c r="J133" s="3" t="inlineStr">
        <is>
          <t>ADMI</t>
        </is>
      </c>
      <c r="K133" s="3" t="inlineStr">
        <is>
          <t>Rank</t>
        </is>
      </c>
    </row>
    <row r="134">
      <c r="A134" t="inlineStr">
        <is>
          <t>PL</t>
        </is>
      </c>
      <c r="B134">
        <f>Processing_index!$S$6</f>
        <v/>
      </c>
      <c r="C134">
        <f>AVERAGE(Processing_index!$E$6)</f>
        <v/>
      </c>
      <c r="D134">
        <f>Processing_index!$U$6</f>
        <v/>
      </c>
      <c r="E134">
        <f>Processing_index!$V$6</f>
        <v/>
      </c>
      <c r="F134">
        <f>Processing_index!$W$6</f>
        <v/>
      </c>
      <c r="G134">
        <f>AVERAGE(B134:F134)</f>
        <v/>
      </c>
      <c r="H134">
        <f>MIN(B134:F134)</f>
        <v/>
      </c>
      <c r="I134">
        <f>1-alpha*MAX(0,delta-H134)</f>
        <v/>
      </c>
      <c r="J134">
        <f>G134*I134</f>
        <v/>
      </c>
      <c r="K134">
        <f>1+COUNTIF($J$134:$J$143,"&gt;"&amp;J134)</f>
        <v/>
      </c>
    </row>
    <row r="135">
      <c r="A135" t="inlineStr">
        <is>
          <t>HU</t>
        </is>
      </c>
      <c r="B135">
        <f>Processing_index!$S$7</f>
        <v/>
      </c>
      <c r="C135">
        <f>AVERAGE(Processing_index!$E$7)</f>
        <v/>
      </c>
      <c r="D135">
        <f>Processing_index!$U$7</f>
        <v/>
      </c>
      <c r="E135">
        <f>Processing_index!$V$7</f>
        <v/>
      </c>
      <c r="F135">
        <f>Processing_index!$W$7</f>
        <v/>
      </c>
      <c r="G135">
        <f>AVERAGE(B135:F135)</f>
        <v/>
      </c>
      <c r="H135">
        <f>MIN(B135:F135)</f>
        <v/>
      </c>
      <c r="I135">
        <f>1-alpha*MAX(0,delta-H135)</f>
        <v/>
      </c>
      <c r="J135">
        <f>G135*I135</f>
        <v/>
      </c>
      <c r="K135">
        <f>1+COUNTIF($J$134:$J$143,"&gt;"&amp;J135)</f>
        <v/>
      </c>
    </row>
    <row r="136">
      <c r="A136" t="inlineStr">
        <is>
          <t>RO</t>
        </is>
      </c>
      <c r="B136">
        <f>Processing_index!$S$8</f>
        <v/>
      </c>
      <c r="C136">
        <f>AVERAGE(Processing_index!$E$8)</f>
        <v/>
      </c>
      <c r="D136">
        <f>Processing_index!$U$8</f>
        <v/>
      </c>
      <c r="E136">
        <f>Processing_index!$V$8</f>
        <v/>
      </c>
      <c r="F136">
        <f>Processing_index!$W$8</f>
        <v/>
      </c>
      <c r="G136">
        <f>AVERAGE(B136:F136)</f>
        <v/>
      </c>
      <c r="H136">
        <f>MIN(B136:F136)</f>
        <v/>
      </c>
      <c r="I136">
        <f>1-alpha*MAX(0,delta-H136)</f>
        <v/>
      </c>
      <c r="J136">
        <f>G136*I136</f>
        <v/>
      </c>
      <c r="K136">
        <f>1+COUNTIF($J$134:$J$143,"&gt;"&amp;J136)</f>
        <v/>
      </c>
    </row>
    <row r="137">
      <c r="A137" t="inlineStr">
        <is>
          <t>CZ</t>
        </is>
      </c>
      <c r="B137">
        <f>Processing_index!$S$9</f>
        <v/>
      </c>
      <c r="C137">
        <f>AVERAGE(Processing_index!$E$9)</f>
        <v/>
      </c>
      <c r="D137">
        <f>Processing_index!$U$9</f>
        <v/>
      </c>
      <c r="E137">
        <f>Processing_index!$V$9</f>
        <v/>
      </c>
      <c r="F137">
        <f>Processing_index!$W$9</f>
        <v/>
      </c>
      <c r="G137">
        <f>AVERAGE(B137:F137)</f>
        <v/>
      </c>
      <c r="H137">
        <f>MIN(B137:F137)</f>
        <v/>
      </c>
      <c r="I137">
        <f>1-alpha*MAX(0,delta-H137)</f>
        <v/>
      </c>
      <c r="J137">
        <f>G137*I137</f>
        <v/>
      </c>
      <c r="K137">
        <f>1+COUNTIF($J$134:$J$143,"&gt;"&amp;J137)</f>
        <v/>
      </c>
    </row>
    <row r="138">
      <c r="A138" t="inlineStr">
        <is>
          <t>SK</t>
        </is>
      </c>
      <c r="B138">
        <f>Processing_index!$S$10</f>
        <v/>
      </c>
      <c r="C138">
        <f>AVERAGE(Processing_index!$E$10)</f>
        <v/>
      </c>
      <c r="D138">
        <f>Processing_index!$U$10</f>
        <v/>
      </c>
      <c r="E138">
        <f>Processing_index!$V$10</f>
        <v/>
      </c>
      <c r="F138">
        <f>Processing_index!$W$10</f>
        <v/>
      </c>
      <c r="G138">
        <f>AVERAGE(B138:F138)</f>
        <v/>
      </c>
      <c r="H138">
        <f>MIN(B138:F138)</f>
        <v/>
      </c>
      <c r="I138">
        <f>1-alpha*MAX(0,delta-H138)</f>
        <v/>
      </c>
      <c r="J138">
        <f>G138*I138</f>
        <v/>
      </c>
      <c r="K138">
        <f>1+COUNTIF($J$134:$J$143,"&gt;"&amp;J138)</f>
        <v/>
      </c>
    </row>
    <row r="139">
      <c r="A139" t="inlineStr">
        <is>
          <t>LT</t>
        </is>
      </c>
      <c r="B139">
        <f>Processing_index!$S$11</f>
        <v/>
      </c>
      <c r="C139">
        <f>AVERAGE(Processing_index!$E$11)</f>
        <v/>
      </c>
      <c r="D139">
        <f>Processing_index!$U$11</f>
        <v/>
      </c>
      <c r="E139">
        <f>Processing_index!$V$11</f>
        <v/>
      </c>
      <c r="F139">
        <f>Processing_index!$W$11</f>
        <v/>
      </c>
      <c r="G139">
        <f>AVERAGE(B139:F139)</f>
        <v/>
      </c>
      <c r="H139">
        <f>MIN(B139:F139)</f>
        <v/>
      </c>
      <c r="I139">
        <f>1-alpha*MAX(0,delta-H139)</f>
        <v/>
      </c>
      <c r="J139">
        <f>G139*I139</f>
        <v/>
      </c>
      <c r="K139">
        <f>1+COUNTIF($J$134:$J$143,"&gt;"&amp;J139)</f>
        <v/>
      </c>
    </row>
    <row r="140">
      <c r="A140" t="inlineStr">
        <is>
          <t>LV</t>
        </is>
      </c>
      <c r="B140">
        <f>Processing_index!$S$12</f>
        <v/>
      </c>
      <c r="C140">
        <f>AVERAGE(Processing_index!$E$12)</f>
        <v/>
      </c>
      <c r="D140">
        <f>Processing_index!$U$12</f>
        <v/>
      </c>
      <c r="E140">
        <f>Processing_index!$V$12</f>
        <v/>
      </c>
      <c r="F140">
        <f>Processing_index!$W$12</f>
        <v/>
      </c>
      <c r="G140">
        <f>AVERAGE(B140:F140)</f>
        <v/>
      </c>
      <c r="H140">
        <f>MIN(B140:F140)</f>
        <v/>
      </c>
      <c r="I140">
        <f>1-alpha*MAX(0,delta-H140)</f>
        <v/>
      </c>
      <c r="J140">
        <f>G140*I140</f>
        <v/>
      </c>
      <c r="K140">
        <f>1+COUNTIF($J$134:$J$143,"&gt;"&amp;J140)</f>
        <v/>
      </c>
    </row>
    <row r="141">
      <c r="A141" t="inlineStr">
        <is>
          <t>EE</t>
        </is>
      </c>
      <c r="B141">
        <f>Processing_index!$S$13</f>
        <v/>
      </c>
      <c r="C141">
        <f>AVERAGE(Processing_index!$E$13)</f>
        <v/>
      </c>
      <c r="D141">
        <f>Processing_index!$U$13</f>
        <v/>
      </c>
      <c r="E141">
        <f>Processing_index!$V$13</f>
        <v/>
      </c>
      <c r="F141">
        <f>Processing_index!$W$13</f>
        <v/>
      </c>
      <c r="G141">
        <f>AVERAGE(B141:F141)</f>
        <v/>
      </c>
      <c r="H141">
        <f>MIN(B141:F141)</f>
        <v/>
      </c>
      <c r="I141">
        <f>1-alpha*MAX(0,delta-H141)</f>
        <v/>
      </c>
      <c r="J141">
        <f>G141*I141</f>
        <v/>
      </c>
      <c r="K141">
        <f>1+COUNTIF($J$134:$J$143,"&gt;"&amp;J141)</f>
        <v/>
      </c>
    </row>
    <row r="142">
      <c r="A142" t="inlineStr">
        <is>
          <t>BG</t>
        </is>
      </c>
      <c r="B142">
        <f>Processing_index!$S$14</f>
        <v/>
      </c>
      <c r="C142">
        <f>AVERAGE(Processing_index!$E$14)</f>
        <v/>
      </c>
      <c r="D142">
        <f>Processing_index!$U$14</f>
        <v/>
      </c>
      <c r="E142">
        <f>Processing_index!$V$14</f>
        <v/>
      </c>
      <c r="F142">
        <f>Processing_index!$W$14</f>
        <v/>
      </c>
      <c r="G142">
        <f>AVERAGE(B142:F142)</f>
        <v/>
      </c>
      <c r="H142">
        <f>MIN(B142:F142)</f>
        <v/>
      </c>
      <c r="I142">
        <f>1-alpha*MAX(0,delta-H142)</f>
        <v/>
      </c>
      <c r="J142">
        <f>G142*I142</f>
        <v/>
      </c>
      <c r="K142">
        <f>1+COUNTIF($J$134:$J$143,"&gt;"&amp;J142)</f>
        <v/>
      </c>
    </row>
    <row r="143">
      <c r="A143" t="inlineStr">
        <is>
          <t>UA</t>
        </is>
      </c>
      <c r="B143">
        <f>Processing_index!$S$15</f>
        <v/>
      </c>
      <c r="C143">
        <f>AVERAGE(Processing_index!$E$15)</f>
        <v/>
      </c>
      <c r="D143">
        <f>Processing_index!$U$15</f>
        <v/>
      </c>
      <c r="E143">
        <f>Processing_index!$V$15</f>
        <v/>
      </c>
      <c r="F143">
        <f>Processing_index!$W$15</f>
        <v/>
      </c>
      <c r="G143">
        <f>AVERAGE(B143:F143)</f>
        <v/>
      </c>
      <c r="H143">
        <f>MIN(B143:F143)</f>
        <v/>
      </c>
      <c r="I143">
        <f>1-alpha*MAX(0,delta-H143)</f>
        <v/>
      </c>
      <c r="J143">
        <f>G143*I143</f>
        <v/>
      </c>
      <c r="K143">
        <f>1+COUNTIF($J$134:$J$143,"&gt;"&amp;J143)</f>
        <v/>
      </c>
    </row>
    <row r="144">
      <c r="A144" s="3" t="inlineStr">
        <is>
          <t>Spearman with baseline</t>
        </is>
      </c>
      <c r="B144">
        <f>1-6*SUMPRODUCT((Processing_index!$AF$6:$AF$15-$K$134:$K$143)^2)/(10*(10^2-1))</f>
        <v/>
      </c>
    </row>
    <row r="145">
      <c r="A145" s="3" t="inlineStr">
        <is>
          <t>Units whose rank changed</t>
        </is>
      </c>
      <c r="B145">
        <f>SUMPRODUCT(--(Processing_index!$AF$6:$AF$15&lt;&gt;$K$134:$K$143))</f>
        <v/>
      </c>
    </row>
    <row r="147">
      <c r="A147" s="3" t="inlineStr">
        <is>
          <t>Without SUPPLY_CHAIN_DATA_EXCHANGE</t>
        </is>
      </c>
    </row>
    <row r="148">
      <c r="A148" s="3" t="inlineStr">
        <is>
          <t>Unit</t>
        </is>
      </c>
      <c r="B148" s="3" t="inlineStr">
        <is>
          <t>C</t>
        </is>
      </c>
      <c r="C148" s="3" t="inlineStr">
        <is>
          <t>L1</t>
        </is>
      </c>
      <c r="D148" s="3" t="inlineStr">
        <is>
          <t>L2</t>
        </is>
      </c>
      <c r="E148" s="3" t="inlineStr">
        <is>
          <t>L3</t>
        </is>
      </c>
      <c r="F148" s="3" t="inlineStr">
        <is>
          <t>L4</t>
        </is>
      </c>
      <c r="G148" s="3" t="inlineStr">
        <is>
          <t>ADMI_base</t>
        </is>
      </c>
      <c r="H148" s="3" t="inlineStr">
        <is>
          <t>DM_min</t>
        </is>
      </c>
      <c r="I148" s="3" t="inlineStr">
        <is>
          <t>Penalty</t>
        </is>
      </c>
      <c r="J148" s="3" t="inlineStr">
        <is>
          <t>ADMI</t>
        </is>
      </c>
      <c r="K148" s="3" t="inlineStr">
        <is>
          <t>Rank</t>
        </is>
      </c>
    </row>
    <row r="149">
      <c r="A149" t="inlineStr">
        <is>
          <t>PL</t>
        </is>
      </c>
      <c r="B149">
        <f>Processing_index!$S$6</f>
        <v/>
      </c>
      <c r="C149">
        <f>Processing_index!$T$6</f>
        <v/>
      </c>
      <c r="D149">
        <f>AVERAGE(Processing_index!$H$6,Processing_index!$I$6)</f>
        <v/>
      </c>
      <c r="E149">
        <f>Processing_index!$V$6</f>
        <v/>
      </c>
      <c r="F149">
        <f>Processing_index!$W$6</f>
        <v/>
      </c>
      <c r="G149">
        <f>AVERAGE(B149:F149)</f>
        <v/>
      </c>
      <c r="H149">
        <f>MIN(B149:F149)</f>
        <v/>
      </c>
      <c r="I149">
        <f>1-alpha*MAX(0,delta-H149)</f>
        <v/>
      </c>
      <c r="J149">
        <f>G149*I149</f>
        <v/>
      </c>
      <c r="K149">
        <f>1+COUNTIF($J$149:$J$158,"&gt;"&amp;J149)</f>
        <v/>
      </c>
    </row>
    <row r="150">
      <c r="A150" t="inlineStr">
        <is>
          <t>HU</t>
        </is>
      </c>
      <c r="B150">
        <f>Processing_index!$S$7</f>
        <v/>
      </c>
      <c r="C150">
        <f>Processing_index!$T$7</f>
        <v/>
      </c>
      <c r="D150">
        <f>AVERAGE(Processing_index!$H$7,Processing_index!$I$7)</f>
        <v/>
      </c>
      <c r="E150">
        <f>Processing_index!$V$7</f>
        <v/>
      </c>
      <c r="F150">
        <f>Processing_index!$W$7</f>
        <v/>
      </c>
      <c r="G150">
        <f>AVERAGE(B150:F150)</f>
        <v/>
      </c>
      <c r="H150">
        <f>MIN(B150:F150)</f>
        <v/>
      </c>
      <c r="I150">
        <f>1-alpha*MAX(0,delta-H150)</f>
        <v/>
      </c>
      <c r="J150">
        <f>G150*I150</f>
        <v/>
      </c>
      <c r="K150">
        <f>1+COUNTIF($J$149:$J$158,"&gt;"&amp;J150)</f>
        <v/>
      </c>
    </row>
    <row r="151">
      <c r="A151" t="inlineStr">
        <is>
          <t>RO</t>
        </is>
      </c>
      <c r="B151">
        <f>Processing_index!$S$8</f>
        <v/>
      </c>
      <c r="C151">
        <f>Processing_index!$T$8</f>
        <v/>
      </c>
      <c r="D151">
        <f>AVERAGE(Processing_index!$H$8,Processing_index!$I$8)</f>
        <v/>
      </c>
      <c r="E151">
        <f>Processing_index!$V$8</f>
        <v/>
      </c>
      <c r="F151">
        <f>Processing_index!$W$8</f>
        <v/>
      </c>
      <c r="G151">
        <f>AVERAGE(B151:F151)</f>
        <v/>
      </c>
      <c r="H151">
        <f>MIN(B151:F151)</f>
        <v/>
      </c>
      <c r="I151">
        <f>1-alpha*MAX(0,delta-H151)</f>
        <v/>
      </c>
      <c r="J151">
        <f>G151*I151</f>
        <v/>
      </c>
      <c r="K151">
        <f>1+COUNTIF($J$149:$J$158,"&gt;"&amp;J151)</f>
        <v/>
      </c>
    </row>
    <row r="152">
      <c r="A152" t="inlineStr">
        <is>
          <t>CZ</t>
        </is>
      </c>
      <c r="B152">
        <f>Processing_index!$S$9</f>
        <v/>
      </c>
      <c r="C152">
        <f>Processing_index!$T$9</f>
        <v/>
      </c>
      <c r="D152">
        <f>AVERAGE(Processing_index!$H$9,Processing_index!$I$9)</f>
        <v/>
      </c>
      <c r="E152">
        <f>Processing_index!$V$9</f>
        <v/>
      </c>
      <c r="F152">
        <f>Processing_index!$W$9</f>
        <v/>
      </c>
      <c r="G152">
        <f>AVERAGE(B152:F152)</f>
        <v/>
      </c>
      <c r="H152">
        <f>MIN(B152:F152)</f>
        <v/>
      </c>
      <c r="I152">
        <f>1-alpha*MAX(0,delta-H152)</f>
        <v/>
      </c>
      <c r="J152">
        <f>G152*I152</f>
        <v/>
      </c>
      <c r="K152">
        <f>1+COUNTIF($J$149:$J$158,"&gt;"&amp;J152)</f>
        <v/>
      </c>
    </row>
    <row r="153">
      <c r="A153" t="inlineStr">
        <is>
          <t>SK</t>
        </is>
      </c>
      <c r="B153">
        <f>Processing_index!$S$10</f>
        <v/>
      </c>
      <c r="C153">
        <f>Processing_index!$T$10</f>
        <v/>
      </c>
      <c r="D153">
        <f>AVERAGE(Processing_index!$H$10,Processing_index!$I$10)</f>
        <v/>
      </c>
      <c r="E153">
        <f>Processing_index!$V$10</f>
        <v/>
      </c>
      <c r="F153">
        <f>Processing_index!$W$10</f>
        <v/>
      </c>
      <c r="G153">
        <f>AVERAGE(B153:F153)</f>
        <v/>
      </c>
      <c r="H153">
        <f>MIN(B153:F153)</f>
        <v/>
      </c>
      <c r="I153">
        <f>1-alpha*MAX(0,delta-H153)</f>
        <v/>
      </c>
      <c r="J153">
        <f>G153*I153</f>
        <v/>
      </c>
      <c r="K153">
        <f>1+COUNTIF($J$149:$J$158,"&gt;"&amp;J153)</f>
        <v/>
      </c>
    </row>
    <row r="154">
      <c r="A154" t="inlineStr">
        <is>
          <t>LT</t>
        </is>
      </c>
      <c r="B154">
        <f>Processing_index!$S$11</f>
        <v/>
      </c>
      <c r="C154">
        <f>Processing_index!$T$11</f>
        <v/>
      </c>
      <c r="D154">
        <f>AVERAGE(Processing_index!$H$11,Processing_index!$I$11)</f>
        <v/>
      </c>
      <c r="E154">
        <f>Processing_index!$V$11</f>
        <v/>
      </c>
      <c r="F154">
        <f>Processing_index!$W$11</f>
        <v/>
      </c>
      <c r="G154">
        <f>AVERAGE(B154:F154)</f>
        <v/>
      </c>
      <c r="H154">
        <f>MIN(B154:F154)</f>
        <v/>
      </c>
      <c r="I154">
        <f>1-alpha*MAX(0,delta-H154)</f>
        <v/>
      </c>
      <c r="J154">
        <f>G154*I154</f>
        <v/>
      </c>
      <c r="K154">
        <f>1+COUNTIF($J$149:$J$158,"&gt;"&amp;J154)</f>
        <v/>
      </c>
    </row>
    <row r="155">
      <c r="A155" t="inlineStr">
        <is>
          <t>LV</t>
        </is>
      </c>
      <c r="B155">
        <f>Processing_index!$S$12</f>
        <v/>
      </c>
      <c r="C155">
        <f>Processing_index!$T$12</f>
        <v/>
      </c>
      <c r="D155">
        <f>AVERAGE(Processing_index!$H$12,Processing_index!$I$12)</f>
        <v/>
      </c>
      <c r="E155">
        <f>Processing_index!$V$12</f>
        <v/>
      </c>
      <c r="F155">
        <f>Processing_index!$W$12</f>
        <v/>
      </c>
      <c r="G155">
        <f>AVERAGE(B155:F155)</f>
        <v/>
      </c>
      <c r="H155">
        <f>MIN(B155:F155)</f>
        <v/>
      </c>
      <c r="I155">
        <f>1-alpha*MAX(0,delta-H155)</f>
        <v/>
      </c>
      <c r="J155">
        <f>G155*I155</f>
        <v/>
      </c>
      <c r="K155">
        <f>1+COUNTIF($J$149:$J$158,"&gt;"&amp;J155)</f>
        <v/>
      </c>
    </row>
    <row r="156">
      <c r="A156" t="inlineStr">
        <is>
          <t>EE</t>
        </is>
      </c>
      <c r="B156">
        <f>Processing_index!$S$13</f>
        <v/>
      </c>
      <c r="C156">
        <f>Processing_index!$T$13</f>
        <v/>
      </c>
      <c r="D156">
        <f>AVERAGE(Processing_index!$H$13,Processing_index!$I$13)</f>
        <v/>
      </c>
      <c r="E156">
        <f>Processing_index!$V$13</f>
        <v/>
      </c>
      <c r="F156">
        <f>Processing_index!$W$13</f>
        <v/>
      </c>
      <c r="G156">
        <f>AVERAGE(B156:F156)</f>
        <v/>
      </c>
      <c r="H156">
        <f>MIN(B156:F156)</f>
        <v/>
      </c>
      <c r="I156">
        <f>1-alpha*MAX(0,delta-H156)</f>
        <v/>
      </c>
      <c r="J156">
        <f>G156*I156</f>
        <v/>
      </c>
      <c r="K156">
        <f>1+COUNTIF($J$149:$J$158,"&gt;"&amp;J156)</f>
        <v/>
      </c>
    </row>
    <row r="157">
      <c r="A157" t="inlineStr">
        <is>
          <t>BG</t>
        </is>
      </c>
      <c r="B157">
        <f>Processing_index!$S$14</f>
        <v/>
      </c>
      <c r="C157">
        <f>Processing_index!$T$14</f>
        <v/>
      </c>
      <c r="D157">
        <f>AVERAGE(Processing_index!$H$14,Processing_index!$I$14)</f>
        <v/>
      </c>
      <c r="E157">
        <f>Processing_index!$V$14</f>
        <v/>
      </c>
      <c r="F157">
        <f>Processing_index!$W$14</f>
        <v/>
      </c>
      <c r="G157">
        <f>AVERAGE(B157:F157)</f>
        <v/>
      </c>
      <c r="H157">
        <f>MIN(B157:F157)</f>
        <v/>
      </c>
      <c r="I157">
        <f>1-alpha*MAX(0,delta-H157)</f>
        <v/>
      </c>
      <c r="J157">
        <f>G157*I157</f>
        <v/>
      </c>
      <c r="K157">
        <f>1+COUNTIF($J$149:$J$158,"&gt;"&amp;J157)</f>
        <v/>
      </c>
    </row>
    <row r="158">
      <c r="A158" t="inlineStr">
        <is>
          <t>UA</t>
        </is>
      </c>
      <c r="B158">
        <f>Processing_index!$S$15</f>
        <v/>
      </c>
      <c r="C158">
        <f>Processing_index!$T$15</f>
        <v/>
      </c>
      <c r="D158">
        <f>AVERAGE(Processing_index!$H$15,Processing_index!$I$15)</f>
        <v/>
      </c>
      <c r="E158">
        <f>Processing_index!$V$15</f>
        <v/>
      </c>
      <c r="F158">
        <f>Processing_index!$W$15</f>
        <v/>
      </c>
      <c r="G158">
        <f>AVERAGE(B158:F158)</f>
        <v/>
      </c>
      <c r="H158">
        <f>MIN(B158:F158)</f>
        <v/>
      </c>
      <c r="I158">
        <f>1-alpha*MAX(0,delta-H158)</f>
        <v/>
      </c>
      <c r="J158">
        <f>G158*I158</f>
        <v/>
      </c>
      <c r="K158">
        <f>1+COUNTIF($J$149:$J$158,"&gt;"&amp;J158)</f>
        <v/>
      </c>
    </row>
    <row r="159">
      <c r="A159" s="3" t="inlineStr">
        <is>
          <t>Spearman with baseline</t>
        </is>
      </c>
      <c r="B159">
        <f>1-6*SUMPRODUCT((Processing_index!$AF$6:$AF$15-$K$149:$K$158)^2)/(10*(10^2-1))</f>
        <v/>
      </c>
    </row>
    <row r="160">
      <c r="A160" s="3" t="inlineStr">
        <is>
          <t>Units whose rank changed</t>
        </is>
      </c>
      <c r="B160">
        <f>SUMPRODUCT(--(Processing_index!$AF$6:$AF$15&lt;&gt;$K$149:$K$158))</f>
        <v/>
      </c>
    </row>
    <row r="162">
      <c r="A162" s="3" t="inlineStr">
        <is>
          <t>Without DATA_ANALYTICS</t>
        </is>
      </c>
    </row>
    <row r="163">
      <c r="A163" s="3" t="inlineStr">
        <is>
          <t>Unit</t>
        </is>
      </c>
      <c r="B163" s="3" t="inlineStr">
        <is>
          <t>C</t>
        </is>
      </c>
      <c r="C163" s="3" t="inlineStr">
        <is>
          <t>L1</t>
        </is>
      </c>
      <c r="D163" s="3" t="inlineStr">
        <is>
          <t>L2</t>
        </is>
      </c>
      <c r="E163" s="3" t="inlineStr">
        <is>
          <t>L3</t>
        </is>
      </c>
      <c r="F163" s="3" t="inlineStr">
        <is>
          <t>L4</t>
        </is>
      </c>
      <c r="G163" s="3" t="inlineStr">
        <is>
          <t>ADMI_base</t>
        </is>
      </c>
      <c r="H163" s="3" t="inlineStr">
        <is>
          <t>DM_min</t>
        </is>
      </c>
      <c r="I163" s="3" t="inlineStr">
        <is>
          <t>Penalty</t>
        </is>
      </c>
      <c r="J163" s="3" t="inlineStr">
        <is>
          <t>ADMI</t>
        </is>
      </c>
      <c r="K163" s="3" t="inlineStr">
        <is>
          <t>Rank</t>
        </is>
      </c>
    </row>
    <row r="164">
      <c r="A164" t="inlineStr">
        <is>
          <t>PL</t>
        </is>
      </c>
      <c r="B164">
        <f>Processing_index!$S$6</f>
        <v/>
      </c>
      <c r="C164">
        <f>Processing_index!$T$6</f>
        <v/>
      </c>
      <c r="D164">
        <f>AVERAGE(Processing_index!$G$6,Processing_index!$I$6)</f>
        <v/>
      </c>
      <c r="E164">
        <f>Processing_index!$V$6</f>
        <v/>
      </c>
      <c r="F164">
        <f>Processing_index!$W$6</f>
        <v/>
      </c>
      <c r="G164">
        <f>AVERAGE(B164:F164)</f>
        <v/>
      </c>
      <c r="H164">
        <f>MIN(B164:F164)</f>
        <v/>
      </c>
      <c r="I164">
        <f>1-alpha*MAX(0,delta-H164)</f>
        <v/>
      </c>
      <c r="J164">
        <f>G164*I164</f>
        <v/>
      </c>
      <c r="K164">
        <f>1+COUNTIF($J$164:$J$173,"&gt;"&amp;J164)</f>
        <v/>
      </c>
    </row>
    <row r="165">
      <c r="A165" t="inlineStr">
        <is>
          <t>HU</t>
        </is>
      </c>
      <c r="B165">
        <f>Processing_index!$S$7</f>
        <v/>
      </c>
      <c r="C165">
        <f>Processing_index!$T$7</f>
        <v/>
      </c>
      <c r="D165">
        <f>AVERAGE(Processing_index!$G$7,Processing_index!$I$7)</f>
        <v/>
      </c>
      <c r="E165">
        <f>Processing_index!$V$7</f>
        <v/>
      </c>
      <c r="F165">
        <f>Processing_index!$W$7</f>
        <v/>
      </c>
      <c r="G165">
        <f>AVERAGE(B165:F165)</f>
        <v/>
      </c>
      <c r="H165">
        <f>MIN(B165:F165)</f>
        <v/>
      </c>
      <c r="I165">
        <f>1-alpha*MAX(0,delta-H165)</f>
        <v/>
      </c>
      <c r="J165">
        <f>G165*I165</f>
        <v/>
      </c>
      <c r="K165">
        <f>1+COUNTIF($J$164:$J$173,"&gt;"&amp;J165)</f>
        <v/>
      </c>
    </row>
    <row r="166">
      <c r="A166" t="inlineStr">
        <is>
          <t>RO</t>
        </is>
      </c>
      <c r="B166">
        <f>Processing_index!$S$8</f>
        <v/>
      </c>
      <c r="C166">
        <f>Processing_index!$T$8</f>
        <v/>
      </c>
      <c r="D166">
        <f>AVERAGE(Processing_index!$G$8,Processing_index!$I$8)</f>
        <v/>
      </c>
      <c r="E166">
        <f>Processing_index!$V$8</f>
        <v/>
      </c>
      <c r="F166">
        <f>Processing_index!$W$8</f>
        <v/>
      </c>
      <c r="G166">
        <f>AVERAGE(B166:F166)</f>
        <v/>
      </c>
      <c r="H166">
        <f>MIN(B166:F166)</f>
        <v/>
      </c>
      <c r="I166">
        <f>1-alpha*MAX(0,delta-H166)</f>
        <v/>
      </c>
      <c r="J166">
        <f>G166*I166</f>
        <v/>
      </c>
      <c r="K166">
        <f>1+COUNTIF($J$164:$J$173,"&gt;"&amp;J166)</f>
        <v/>
      </c>
    </row>
    <row r="167">
      <c r="A167" t="inlineStr">
        <is>
          <t>CZ</t>
        </is>
      </c>
      <c r="B167">
        <f>Processing_index!$S$9</f>
        <v/>
      </c>
      <c r="C167">
        <f>Processing_index!$T$9</f>
        <v/>
      </c>
      <c r="D167">
        <f>AVERAGE(Processing_index!$G$9,Processing_index!$I$9)</f>
        <v/>
      </c>
      <c r="E167">
        <f>Processing_index!$V$9</f>
        <v/>
      </c>
      <c r="F167">
        <f>Processing_index!$W$9</f>
        <v/>
      </c>
      <c r="G167">
        <f>AVERAGE(B167:F167)</f>
        <v/>
      </c>
      <c r="H167">
        <f>MIN(B167:F167)</f>
        <v/>
      </c>
      <c r="I167">
        <f>1-alpha*MAX(0,delta-H167)</f>
        <v/>
      </c>
      <c r="J167">
        <f>G167*I167</f>
        <v/>
      </c>
      <c r="K167">
        <f>1+COUNTIF($J$164:$J$173,"&gt;"&amp;J167)</f>
        <v/>
      </c>
    </row>
    <row r="168">
      <c r="A168" t="inlineStr">
        <is>
          <t>SK</t>
        </is>
      </c>
      <c r="B168">
        <f>Processing_index!$S$10</f>
        <v/>
      </c>
      <c r="C168">
        <f>Processing_index!$T$10</f>
        <v/>
      </c>
      <c r="D168">
        <f>AVERAGE(Processing_index!$G$10,Processing_index!$I$10)</f>
        <v/>
      </c>
      <c r="E168">
        <f>Processing_index!$V$10</f>
        <v/>
      </c>
      <c r="F168">
        <f>Processing_index!$W$10</f>
        <v/>
      </c>
      <c r="G168">
        <f>AVERAGE(B168:F168)</f>
        <v/>
      </c>
      <c r="H168">
        <f>MIN(B168:F168)</f>
        <v/>
      </c>
      <c r="I168">
        <f>1-alpha*MAX(0,delta-H168)</f>
        <v/>
      </c>
      <c r="J168">
        <f>G168*I168</f>
        <v/>
      </c>
      <c r="K168">
        <f>1+COUNTIF($J$164:$J$173,"&gt;"&amp;J168)</f>
        <v/>
      </c>
    </row>
    <row r="169">
      <c r="A169" t="inlineStr">
        <is>
          <t>LT</t>
        </is>
      </c>
      <c r="B169">
        <f>Processing_index!$S$11</f>
        <v/>
      </c>
      <c r="C169">
        <f>Processing_index!$T$11</f>
        <v/>
      </c>
      <c r="D169">
        <f>AVERAGE(Processing_index!$G$11,Processing_index!$I$11)</f>
        <v/>
      </c>
      <c r="E169">
        <f>Processing_index!$V$11</f>
        <v/>
      </c>
      <c r="F169">
        <f>Processing_index!$W$11</f>
        <v/>
      </c>
      <c r="G169">
        <f>AVERAGE(B169:F169)</f>
        <v/>
      </c>
      <c r="H169">
        <f>MIN(B169:F169)</f>
        <v/>
      </c>
      <c r="I169">
        <f>1-alpha*MAX(0,delta-H169)</f>
        <v/>
      </c>
      <c r="J169">
        <f>G169*I169</f>
        <v/>
      </c>
      <c r="K169">
        <f>1+COUNTIF($J$164:$J$173,"&gt;"&amp;J169)</f>
        <v/>
      </c>
    </row>
    <row r="170">
      <c r="A170" t="inlineStr">
        <is>
          <t>LV</t>
        </is>
      </c>
      <c r="B170">
        <f>Processing_index!$S$12</f>
        <v/>
      </c>
      <c r="C170">
        <f>Processing_index!$T$12</f>
        <v/>
      </c>
      <c r="D170">
        <f>AVERAGE(Processing_index!$G$12,Processing_index!$I$12)</f>
        <v/>
      </c>
      <c r="E170">
        <f>Processing_index!$V$12</f>
        <v/>
      </c>
      <c r="F170">
        <f>Processing_index!$W$12</f>
        <v/>
      </c>
      <c r="G170">
        <f>AVERAGE(B170:F170)</f>
        <v/>
      </c>
      <c r="H170">
        <f>MIN(B170:F170)</f>
        <v/>
      </c>
      <c r="I170">
        <f>1-alpha*MAX(0,delta-H170)</f>
        <v/>
      </c>
      <c r="J170">
        <f>G170*I170</f>
        <v/>
      </c>
      <c r="K170">
        <f>1+COUNTIF($J$164:$J$173,"&gt;"&amp;J170)</f>
        <v/>
      </c>
    </row>
    <row r="171">
      <c r="A171" t="inlineStr">
        <is>
          <t>EE</t>
        </is>
      </c>
      <c r="B171">
        <f>Processing_index!$S$13</f>
        <v/>
      </c>
      <c r="C171">
        <f>Processing_index!$T$13</f>
        <v/>
      </c>
      <c r="D171">
        <f>AVERAGE(Processing_index!$G$13,Processing_index!$I$13)</f>
        <v/>
      </c>
      <c r="E171">
        <f>Processing_index!$V$13</f>
        <v/>
      </c>
      <c r="F171">
        <f>Processing_index!$W$13</f>
        <v/>
      </c>
      <c r="G171">
        <f>AVERAGE(B171:F171)</f>
        <v/>
      </c>
      <c r="H171">
        <f>MIN(B171:F171)</f>
        <v/>
      </c>
      <c r="I171">
        <f>1-alpha*MAX(0,delta-H171)</f>
        <v/>
      </c>
      <c r="J171">
        <f>G171*I171</f>
        <v/>
      </c>
      <c r="K171">
        <f>1+COUNTIF($J$164:$J$173,"&gt;"&amp;J171)</f>
        <v/>
      </c>
    </row>
    <row r="172">
      <c r="A172" t="inlineStr">
        <is>
          <t>BG</t>
        </is>
      </c>
      <c r="B172">
        <f>Processing_index!$S$14</f>
        <v/>
      </c>
      <c r="C172">
        <f>Processing_index!$T$14</f>
        <v/>
      </c>
      <c r="D172">
        <f>AVERAGE(Processing_index!$G$14,Processing_index!$I$14)</f>
        <v/>
      </c>
      <c r="E172">
        <f>Processing_index!$V$14</f>
        <v/>
      </c>
      <c r="F172">
        <f>Processing_index!$W$14</f>
        <v/>
      </c>
      <c r="G172">
        <f>AVERAGE(B172:F172)</f>
        <v/>
      </c>
      <c r="H172">
        <f>MIN(B172:F172)</f>
        <v/>
      </c>
      <c r="I172">
        <f>1-alpha*MAX(0,delta-H172)</f>
        <v/>
      </c>
      <c r="J172">
        <f>G172*I172</f>
        <v/>
      </c>
      <c r="K172">
        <f>1+COUNTIF($J$164:$J$173,"&gt;"&amp;J172)</f>
        <v/>
      </c>
    </row>
    <row r="173">
      <c r="A173" t="inlineStr">
        <is>
          <t>UA</t>
        </is>
      </c>
      <c r="B173">
        <f>Processing_index!$S$15</f>
        <v/>
      </c>
      <c r="C173">
        <f>Processing_index!$T$15</f>
        <v/>
      </c>
      <c r="D173">
        <f>AVERAGE(Processing_index!$G$15,Processing_index!$I$15)</f>
        <v/>
      </c>
      <c r="E173">
        <f>Processing_index!$V$15</f>
        <v/>
      </c>
      <c r="F173">
        <f>Processing_index!$W$15</f>
        <v/>
      </c>
      <c r="G173">
        <f>AVERAGE(B173:F173)</f>
        <v/>
      </c>
      <c r="H173">
        <f>MIN(B173:F173)</f>
        <v/>
      </c>
      <c r="I173">
        <f>1-alpha*MAX(0,delta-H173)</f>
        <v/>
      </c>
      <c r="J173">
        <f>G173*I173</f>
        <v/>
      </c>
      <c r="K173">
        <f>1+COUNTIF($J$164:$J$173,"&gt;"&amp;J173)</f>
        <v/>
      </c>
    </row>
    <row r="174">
      <c r="A174" s="3" t="inlineStr">
        <is>
          <t>Spearman with baseline</t>
        </is>
      </c>
      <c r="B174">
        <f>1-6*SUMPRODUCT((Processing_index!$AF$6:$AF$15-$K$164:$K$173)^2)/(10*(10^2-1))</f>
        <v/>
      </c>
    </row>
    <row r="175">
      <c r="A175" s="3" t="inlineStr">
        <is>
          <t>Units whose rank changed</t>
        </is>
      </c>
      <c r="B175">
        <f>SUMPRODUCT(--(Processing_index!$AF$6:$AF$15&lt;&gt;$K$164:$K$173))</f>
        <v/>
      </c>
    </row>
    <row r="177">
      <c r="A177" s="3" t="inlineStr">
        <is>
          <t>Without IOT_ANY</t>
        </is>
      </c>
    </row>
    <row r="178">
      <c r="A178" s="3" t="inlineStr">
        <is>
          <t>Unit</t>
        </is>
      </c>
      <c r="B178" s="3" t="inlineStr">
        <is>
          <t>C</t>
        </is>
      </c>
      <c r="C178" s="3" t="inlineStr">
        <is>
          <t>L1</t>
        </is>
      </c>
      <c r="D178" s="3" t="inlineStr">
        <is>
          <t>L2</t>
        </is>
      </c>
      <c r="E178" s="3" t="inlineStr">
        <is>
          <t>L3</t>
        </is>
      </c>
      <c r="F178" s="3" t="inlineStr">
        <is>
          <t>L4</t>
        </is>
      </c>
      <c r="G178" s="3" t="inlineStr">
        <is>
          <t>ADMI_base</t>
        </is>
      </c>
      <c r="H178" s="3" t="inlineStr">
        <is>
          <t>DM_min</t>
        </is>
      </c>
      <c r="I178" s="3" t="inlineStr">
        <is>
          <t>Penalty</t>
        </is>
      </c>
      <c r="J178" s="3" t="inlineStr">
        <is>
          <t>ADMI</t>
        </is>
      </c>
      <c r="K178" s="3" t="inlineStr">
        <is>
          <t>Rank</t>
        </is>
      </c>
    </row>
    <row r="179">
      <c r="A179" t="inlineStr">
        <is>
          <t>PL</t>
        </is>
      </c>
      <c r="B179">
        <f>Processing_index!$S$6</f>
        <v/>
      </c>
      <c r="C179">
        <f>Processing_index!$T$6</f>
        <v/>
      </c>
      <c r="D179">
        <f>AVERAGE(Processing_index!$G$6,Processing_index!$H$6)</f>
        <v/>
      </c>
      <c r="E179">
        <f>Processing_index!$V$6</f>
        <v/>
      </c>
      <c r="F179">
        <f>Processing_index!$W$6</f>
        <v/>
      </c>
      <c r="G179">
        <f>AVERAGE(B179:F179)</f>
        <v/>
      </c>
      <c r="H179">
        <f>MIN(B179:F179)</f>
        <v/>
      </c>
      <c r="I179">
        <f>1-alpha*MAX(0,delta-H179)</f>
        <v/>
      </c>
      <c r="J179">
        <f>G179*I179</f>
        <v/>
      </c>
      <c r="K179">
        <f>1+COUNTIF($J$179:$J$188,"&gt;"&amp;J179)</f>
        <v/>
      </c>
    </row>
    <row r="180">
      <c r="A180" t="inlineStr">
        <is>
          <t>HU</t>
        </is>
      </c>
      <c r="B180">
        <f>Processing_index!$S$7</f>
        <v/>
      </c>
      <c r="C180">
        <f>Processing_index!$T$7</f>
        <v/>
      </c>
      <c r="D180">
        <f>AVERAGE(Processing_index!$G$7,Processing_index!$H$7)</f>
        <v/>
      </c>
      <c r="E180">
        <f>Processing_index!$V$7</f>
        <v/>
      </c>
      <c r="F180">
        <f>Processing_index!$W$7</f>
        <v/>
      </c>
      <c r="G180">
        <f>AVERAGE(B180:F180)</f>
        <v/>
      </c>
      <c r="H180">
        <f>MIN(B180:F180)</f>
        <v/>
      </c>
      <c r="I180">
        <f>1-alpha*MAX(0,delta-H180)</f>
        <v/>
      </c>
      <c r="J180">
        <f>G180*I180</f>
        <v/>
      </c>
      <c r="K180">
        <f>1+COUNTIF($J$179:$J$188,"&gt;"&amp;J180)</f>
        <v/>
      </c>
    </row>
    <row r="181">
      <c r="A181" t="inlineStr">
        <is>
          <t>RO</t>
        </is>
      </c>
      <c r="B181">
        <f>Processing_index!$S$8</f>
        <v/>
      </c>
      <c r="C181">
        <f>Processing_index!$T$8</f>
        <v/>
      </c>
      <c r="D181">
        <f>AVERAGE(Processing_index!$G$8,Processing_index!$H$8)</f>
        <v/>
      </c>
      <c r="E181">
        <f>Processing_index!$V$8</f>
        <v/>
      </c>
      <c r="F181">
        <f>Processing_index!$W$8</f>
        <v/>
      </c>
      <c r="G181">
        <f>AVERAGE(B181:F181)</f>
        <v/>
      </c>
      <c r="H181">
        <f>MIN(B181:F181)</f>
        <v/>
      </c>
      <c r="I181">
        <f>1-alpha*MAX(0,delta-H181)</f>
        <v/>
      </c>
      <c r="J181">
        <f>G181*I181</f>
        <v/>
      </c>
      <c r="K181">
        <f>1+COUNTIF($J$179:$J$188,"&gt;"&amp;J181)</f>
        <v/>
      </c>
    </row>
    <row r="182">
      <c r="A182" t="inlineStr">
        <is>
          <t>CZ</t>
        </is>
      </c>
      <c r="B182">
        <f>Processing_index!$S$9</f>
        <v/>
      </c>
      <c r="C182">
        <f>Processing_index!$T$9</f>
        <v/>
      </c>
      <c r="D182">
        <f>AVERAGE(Processing_index!$G$9,Processing_index!$H$9)</f>
        <v/>
      </c>
      <c r="E182">
        <f>Processing_index!$V$9</f>
        <v/>
      </c>
      <c r="F182">
        <f>Processing_index!$W$9</f>
        <v/>
      </c>
      <c r="G182">
        <f>AVERAGE(B182:F182)</f>
        <v/>
      </c>
      <c r="H182">
        <f>MIN(B182:F182)</f>
        <v/>
      </c>
      <c r="I182">
        <f>1-alpha*MAX(0,delta-H182)</f>
        <v/>
      </c>
      <c r="J182">
        <f>G182*I182</f>
        <v/>
      </c>
      <c r="K182">
        <f>1+COUNTIF($J$179:$J$188,"&gt;"&amp;J182)</f>
        <v/>
      </c>
    </row>
    <row r="183">
      <c r="A183" t="inlineStr">
        <is>
          <t>SK</t>
        </is>
      </c>
      <c r="B183">
        <f>Processing_index!$S$10</f>
        <v/>
      </c>
      <c r="C183">
        <f>Processing_index!$T$10</f>
        <v/>
      </c>
      <c r="D183">
        <f>AVERAGE(Processing_index!$G$10,Processing_index!$H$10)</f>
        <v/>
      </c>
      <c r="E183">
        <f>Processing_index!$V$10</f>
        <v/>
      </c>
      <c r="F183">
        <f>Processing_index!$W$10</f>
        <v/>
      </c>
      <c r="G183">
        <f>AVERAGE(B183:F183)</f>
        <v/>
      </c>
      <c r="H183">
        <f>MIN(B183:F183)</f>
        <v/>
      </c>
      <c r="I183">
        <f>1-alpha*MAX(0,delta-H183)</f>
        <v/>
      </c>
      <c r="J183">
        <f>G183*I183</f>
        <v/>
      </c>
      <c r="K183">
        <f>1+COUNTIF($J$179:$J$188,"&gt;"&amp;J183)</f>
        <v/>
      </c>
    </row>
    <row r="184">
      <c r="A184" t="inlineStr">
        <is>
          <t>LT</t>
        </is>
      </c>
      <c r="B184">
        <f>Processing_index!$S$11</f>
        <v/>
      </c>
      <c r="C184">
        <f>Processing_index!$T$11</f>
        <v/>
      </c>
      <c r="D184">
        <f>AVERAGE(Processing_index!$G$11,Processing_index!$H$11)</f>
        <v/>
      </c>
      <c r="E184">
        <f>Processing_index!$V$11</f>
        <v/>
      </c>
      <c r="F184">
        <f>Processing_index!$W$11</f>
        <v/>
      </c>
      <c r="G184">
        <f>AVERAGE(B184:F184)</f>
        <v/>
      </c>
      <c r="H184">
        <f>MIN(B184:F184)</f>
        <v/>
      </c>
      <c r="I184">
        <f>1-alpha*MAX(0,delta-H184)</f>
        <v/>
      </c>
      <c r="J184">
        <f>G184*I184</f>
        <v/>
      </c>
      <c r="K184">
        <f>1+COUNTIF($J$179:$J$188,"&gt;"&amp;J184)</f>
        <v/>
      </c>
    </row>
    <row r="185">
      <c r="A185" t="inlineStr">
        <is>
          <t>LV</t>
        </is>
      </c>
      <c r="B185">
        <f>Processing_index!$S$12</f>
        <v/>
      </c>
      <c r="C185">
        <f>Processing_index!$T$12</f>
        <v/>
      </c>
      <c r="D185">
        <f>AVERAGE(Processing_index!$G$12,Processing_index!$H$12)</f>
        <v/>
      </c>
      <c r="E185">
        <f>Processing_index!$V$12</f>
        <v/>
      </c>
      <c r="F185">
        <f>Processing_index!$W$12</f>
        <v/>
      </c>
      <c r="G185">
        <f>AVERAGE(B185:F185)</f>
        <v/>
      </c>
      <c r="H185">
        <f>MIN(B185:F185)</f>
        <v/>
      </c>
      <c r="I185">
        <f>1-alpha*MAX(0,delta-H185)</f>
        <v/>
      </c>
      <c r="J185">
        <f>G185*I185</f>
        <v/>
      </c>
      <c r="K185">
        <f>1+COUNTIF($J$179:$J$188,"&gt;"&amp;J185)</f>
        <v/>
      </c>
    </row>
    <row r="186">
      <c r="A186" t="inlineStr">
        <is>
          <t>EE</t>
        </is>
      </c>
      <c r="B186">
        <f>Processing_index!$S$13</f>
        <v/>
      </c>
      <c r="C186">
        <f>Processing_index!$T$13</f>
        <v/>
      </c>
      <c r="D186">
        <f>AVERAGE(Processing_index!$G$13,Processing_index!$H$13)</f>
        <v/>
      </c>
      <c r="E186">
        <f>Processing_index!$V$13</f>
        <v/>
      </c>
      <c r="F186">
        <f>Processing_index!$W$13</f>
        <v/>
      </c>
      <c r="G186">
        <f>AVERAGE(B186:F186)</f>
        <v/>
      </c>
      <c r="H186">
        <f>MIN(B186:F186)</f>
        <v/>
      </c>
      <c r="I186">
        <f>1-alpha*MAX(0,delta-H186)</f>
        <v/>
      </c>
      <c r="J186">
        <f>G186*I186</f>
        <v/>
      </c>
      <c r="K186">
        <f>1+COUNTIF($J$179:$J$188,"&gt;"&amp;J186)</f>
        <v/>
      </c>
    </row>
    <row r="187">
      <c r="A187" t="inlineStr">
        <is>
          <t>BG</t>
        </is>
      </c>
      <c r="B187">
        <f>Processing_index!$S$14</f>
        <v/>
      </c>
      <c r="C187">
        <f>Processing_index!$T$14</f>
        <v/>
      </c>
      <c r="D187">
        <f>AVERAGE(Processing_index!$G$14,Processing_index!$H$14)</f>
        <v/>
      </c>
      <c r="E187">
        <f>Processing_index!$V$14</f>
        <v/>
      </c>
      <c r="F187">
        <f>Processing_index!$W$14</f>
        <v/>
      </c>
      <c r="G187">
        <f>AVERAGE(B187:F187)</f>
        <v/>
      </c>
      <c r="H187">
        <f>MIN(B187:F187)</f>
        <v/>
      </c>
      <c r="I187">
        <f>1-alpha*MAX(0,delta-H187)</f>
        <v/>
      </c>
      <c r="J187">
        <f>G187*I187</f>
        <v/>
      </c>
      <c r="K187">
        <f>1+COUNTIF($J$179:$J$188,"&gt;"&amp;J187)</f>
        <v/>
      </c>
    </row>
    <row r="188">
      <c r="A188" t="inlineStr">
        <is>
          <t>UA</t>
        </is>
      </c>
      <c r="B188">
        <f>Processing_index!$S$15</f>
        <v/>
      </c>
      <c r="C188">
        <f>Processing_index!$T$15</f>
        <v/>
      </c>
      <c r="D188">
        <f>AVERAGE(Processing_index!$G$15,Processing_index!$H$15)</f>
        <v/>
      </c>
      <c r="E188">
        <f>Processing_index!$V$15</f>
        <v/>
      </c>
      <c r="F188">
        <f>Processing_index!$W$15</f>
        <v/>
      </c>
      <c r="G188">
        <f>AVERAGE(B188:F188)</f>
        <v/>
      </c>
      <c r="H188">
        <f>MIN(B188:F188)</f>
        <v/>
      </c>
      <c r="I188">
        <f>1-alpha*MAX(0,delta-H188)</f>
        <v/>
      </c>
      <c r="J188">
        <f>G188*I188</f>
        <v/>
      </c>
      <c r="K188">
        <f>1+COUNTIF($J$179:$J$188,"&gt;"&amp;J188)</f>
        <v/>
      </c>
    </row>
    <row r="189">
      <c r="A189" s="3" t="inlineStr">
        <is>
          <t>Spearman with baseline</t>
        </is>
      </c>
      <c r="B189">
        <f>1-6*SUMPRODUCT((Processing_index!$AF$6:$AF$15-$K$179:$K$188)^2)/(10*(10^2-1))</f>
        <v/>
      </c>
    </row>
    <row r="190">
      <c r="A190" s="3" t="inlineStr">
        <is>
          <t>Units whose rank changed</t>
        </is>
      </c>
      <c r="B190">
        <f>SUMPRODUCT(--(Processing_index!$AF$6:$AF$15&lt;&gt;$K$179:$K$188))</f>
        <v/>
      </c>
    </row>
    <row r="192">
      <c r="A192" s="3" t="inlineStr">
        <is>
          <t>Without MOBILE_INTERNET</t>
        </is>
      </c>
    </row>
    <row r="193">
      <c r="A193" s="3" t="inlineStr">
        <is>
          <t>Unit</t>
        </is>
      </c>
      <c r="B193" s="3" t="inlineStr">
        <is>
          <t>C</t>
        </is>
      </c>
      <c r="C193" s="3" t="inlineStr">
        <is>
          <t>L1</t>
        </is>
      </c>
      <c r="D193" s="3" t="inlineStr">
        <is>
          <t>L2</t>
        </is>
      </c>
      <c r="E193" s="3" t="inlineStr">
        <is>
          <t>L3</t>
        </is>
      </c>
      <c r="F193" s="3" t="inlineStr">
        <is>
          <t>L4</t>
        </is>
      </c>
      <c r="G193" s="3" t="inlineStr">
        <is>
          <t>ADMI_base</t>
        </is>
      </c>
      <c r="H193" s="3" t="inlineStr">
        <is>
          <t>DM_min</t>
        </is>
      </c>
      <c r="I193" s="3" t="inlineStr">
        <is>
          <t>Penalty</t>
        </is>
      </c>
      <c r="J193" s="3" t="inlineStr">
        <is>
          <t>ADMI</t>
        </is>
      </c>
      <c r="K193" s="3" t="inlineStr">
        <is>
          <t>Rank</t>
        </is>
      </c>
    </row>
    <row r="194">
      <c r="A194" t="inlineStr">
        <is>
          <t>PL</t>
        </is>
      </c>
      <c r="B194">
        <f>Processing_index!$S$6</f>
        <v/>
      </c>
      <c r="C194">
        <f>Processing_index!$T$6</f>
        <v/>
      </c>
      <c r="D194">
        <f>Processing_index!$U$6</f>
        <v/>
      </c>
      <c r="E194">
        <f>AVERAGE(Processing_index!$K$6)</f>
        <v/>
      </c>
      <c r="F194">
        <f>Processing_index!$W$6</f>
        <v/>
      </c>
      <c r="G194">
        <f>AVERAGE(B194:F194)</f>
        <v/>
      </c>
      <c r="H194">
        <f>MIN(B194:F194)</f>
        <v/>
      </c>
      <c r="I194">
        <f>1-alpha*MAX(0,delta-H194)</f>
        <v/>
      </c>
      <c r="J194">
        <f>G194*I194</f>
        <v/>
      </c>
      <c r="K194">
        <f>1+COUNTIF($J$194:$J$203,"&gt;"&amp;J194)</f>
        <v/>
      </c>
    </row>
    <row r="195">
      <c r="A195" t="inlineStr">
        <is>
          <t>HU</t>
        </is>
      </c>
      <c r="B195">
        <f>Processing_index!$S$7</f>
        <v/>
      </c>
      <c r="C195">
        <f>Processing_index!$T$7</f>
        <v/>
      </c>
      <c r="D195">
        <f>Processing_index!$U$7</f>
        <v/>
      </c>
      <c r="E195">
        <f>AVERAGE(Processing_index!$K$7)</f>
        <v/>
      </c>
      <c r="F195">
        <f>Processing_index!$W$7</f>
        <v/>
      </c>
      <c r="G195">
        <f>AVERAGE(B195:F195)</f>
        <v/>
      </c>
      <c r="H195">
        <f>MIN(B195:F195)</f>
        <v/>
      </c>
      <c r="I195">
        <f>1-alpha*MAX(0,delta-H195)</f>
        <v/>
      </c>
      <c r="J195">
        <f>G195*I195</f>
        <v/>
      </c>
      <c r="K195">
        <f>1+COUNTIF($J$194:$J$203,"&gt;"&amp;J195)</f>
        <v/>
      </c>
    </row>
    <row r="196">
      <c r="A196" t="inlineStr">
        <is>
          <t>RO</t>
        </is>
      </c>
      <c r="B196">
        <f>Processing_index!$S$8</f>
        <v/>
      </c>
      <c r="C196">
        <f>Processing_index!$T$8</f>
        <v/>
      </c>
      <c r="D196">
        <f>Processing_index!$U$8</f>
        <v/>
      </c>
      <c r="E196">
        <f>AVERAGE(Processing_index!$K$8)</f>
        <v/>
      </c>
      <c r="F196">
        <f>Processing_index!$W$8</f>
        <v/>
      </c>
      <c r="G196">
        <f>AVERAGE(B196:F196)</f>
        <v/>
      </c>
      <c r="H196">
        <f>MIN(B196:F196)</f>
        <v/>
      </c>
      <c r="I196">
        <f>1-alpha*MAX(0,delta-H196)</f>
        <v/>
      </c>
      <c r="J196">
        <f>G196*I196</f>
        <v/>
      </c>
      <c r="K196">
        <f>1+COUNTIF($J$194:$J$203,"&gt;"&amp;J196)</f>
        <v/>
      </c>
    </row>
    <row r="197">
      <c r="A197" t="inlineStr">
        <is>
          <t>CZ</t>
        </is>
      </c>
      <c r="B197">
        <f>Processing_index!$S$9</f>
        <v/>
      </c>
      <c r="C197">
        <f>Processing_index!$T$9</f>
        <v/>
      </c>
      <c r="D197">
        <f>Processing_index!$U$9</f>
        <v/>
      </c>
      <c r="E197">
        <f>AVERAGE(Processing_index!$K$9)</f>
        <v/>
      </c>
      <c r="F197">
        <f>Processing_index!$W$9</f>
        <v/>
      </c>
      <c r="G197">
        <f>AVERAGE(B197:F197)</f>
        <v/>
      </c>
      <c r="H197">
        <f>MIN(B197:F197)</f>
        <v/>
      </c>
      <c r="I197">
        <f>1-alpha*MAX(0,delta-H197)</f>
        <v/>
      </c>
      <c r="J197">
        <f>G197*I197</f>
        <v/>
      </c>
      <c r="K197">
        <f>1+COUNTIF($J$194:$J$203,"&gt;"&amp;J197)</f>
        <v/>
      </c>
    </row>
    <row r="198">
      <c r="A198" t="inlineStr">
        <is>
          <t>SK</t>
        </is>
      </c>
      <c r="B198">
        <f>Processing_index!$S$10</f>
        <v/>
      </c>
      <c r="C198">
        <f>Processing_index!$T$10</f>
        <v/>
      </c>
      <c r="D198">
        <f>Processing_index!$U$10</f>
        <v/>
      </c>
      <c r="E198">
        <f>AVERAGE(Processing_index!$K$10)</f>
        <v/>
      </c>
      <c r="F198">
        <f>Processing_index!$W$10</f>
        <v/>
      </c>
      <c r="G198">
        <f>AVERAGE(B198:F198)</f>
        <v/>
      </c>
      <c r="H198">
        <f>MIN(B198:F198)</f>
        <v/>
      </c>
      <c r="I198">
        <f>1-alpha*MAX(0,delta-H198)</f>
        <v/>
      </c>
      <c r="J198">
        <f>G198*I198</f>
        <v/>
      </c>
      <c r="K198">
        <f>1+COUNTIF($J$194:$J$203,"&gt;"&amp;J198)</f>
        <v/>
      </c>
    </row>
    <row r="199">
      <c r="A199" t="inlineStr">
        <is>
          <t>LT</t>
        </is>
      </c>
      <c r="B199">
        <f>Processing_index!$S$11</f>
        <v/>
      </c>
      <c r="C199">
        <f>Processing_index!$T$11</f>
        <v/>
      </c>
      <c r="D199">
        <f>Processing_index!$U$11</f>
        <v/>
      </c>
      <c r="E199">
        <f>AVERAGE(Processing_index!$K$11)</f>
        <v/>
      </c>
      <c r="F199">
        <f>Processing_index!$W$11</f>
        <v/>
      </c>
      <c r="G199">
        <f>AVERAGE(B199:F199)</f>
        <v/>
      </c>
      <c r="H199">
        <f>MIN(B199:F199)</f>
        <v/>
      </c>
      <c r="I199">
        <f>1-alpha*MAX(0,delta-H199)</f>
        <v/>
      </c>
      <c r="J199">
        <f>G199*I199</f>
        <v/>
      </c>
      <c r="K199">
        <f>1+COUNTIF($J$194:$J$203,"&gt;"&amp;J199)</f>
        <v/>
      </c>
    </row>
    <row r="200">
      <c r="A200" t="inlineStr">
        <is>
          <t>LV</t>
        </is>
      </c>
      <c r="B200">
        <f>Processing_index!$S$12</f>
        <v/>
      </c>
      <c r="C200">
        <f>Processing_index!$T$12</f>
        <v/>
      </c>
      <c r="D200">
        <f>Processing_index!$U$12</f>
        <v/>
      </c>
      <c r="E200">
        <f>AVERAGE(Processing_index!$K$12)</f>
        <v/>
      </c>
      <c r="F200">
        <f>Processing_index!$W$12</f>
        <v/>
      </c>
      <c r="G200">
        <f>AVERAGE(B200:F200)</f>
        <v/>
      </c>
      <c r="H200">
        <f>MIN(B200:F200)</f>
        <v/>
      </c>
      <c r="I200">
        <f>1-alpha*MAX(0,delta-H200)</f>
        <v/>
      </c>
      <c r="J200">
        <f>G200*I200</f>
        <v/>
      </c>
      <c r="K200">
        <f>1+COUNTIF($J$194:$J$203,"&gt;"&amp;J200)</f>
        <v/>
      </c>
    </row>
    <row r="201">
      <c r="A201" t="inlineStr">
        <is>
          <t>EE</t>
        </is>
      </c>
      <c r="B201">
        <f>Processing_index!$S$13</f>
        <v/>
      </c>
      <c r="C201">
        <f>Processing_index!$T$13</f>
        <v/>
      </c>
      <c r="D201">
        <f>Processing_index!$U$13</f>
        <v/>
      </c>
      <c r="E201">
        <f>AVERAGE(Processing_index!$K$13)</f>
        <v/>
      </c>
      <c r="F201">
        <f>Processing_index!$W$13</f>
        <v/>
      </c>
      <c r="G201">
        <f>AVERAGE(B201:F201)</f>
        <v/>
      </c>
      <c r="H201">
        <f>MIN(B201:F201)</f>
        <v/>
      </c>
      <c r="I201">
        <f>1-alpha*MAX(0,delta-H201)</f>
        <v/>
      </c>
      <c r="J201">
        <f>G201*I201</f>
        <v/>
      </c>
      <c r="K201">
        <f>1+COUNTIF($J$194:$J$203,"&gt;"&amp;J201)</f>
        <v/>
      </c>
    </row>
    <row r="202">
      <c r="A202" t="inlineStr">
        <is>
          <t>BG</t>
        </is>
      </c>
      <c r="B202">
        <f>Processing_index!$S$14</f>
        <v/>
      </c>
      <c r="C202">
        <f>Processing_index!$T$14</f>
        <v/>
      </c>
      <c r="D202">
        <f>Processing_index!$U$14</f>
        <v/>
      </c>
      <c r="E202">
        <f>AVERAGE(Processing_index!$K$14)</f>
        <v/>
      </c>
      <c r="F202">
        <f>Processing_index!$W$14</f>
        <v/>
      </c>
      <c r="G202">
        <f>AVERAGE(B202:F202)</f>
        <v/>
      </c>
      <c r="H202">
        <f>MIN(B202:F202)</f>
        <v/>
      </c>
      <c r="I202">
        <f>1-alpha*MAX(0,delta-H202)</f>
        <v/>
      </c>
      <c r="J202">
        <f>G202*I202</f>
        <v/>
      </c>
      <c r="K202">
        <f>1+COUNTIF($J$194:$J$203,"&gt;"&amp;J202)</f>
        <v/>
      </c>
    </row>
    <row r="203">
      <c r="A203" t="inlineStr">
        <is>
          <t>UA</t>
        </is>
      </c>
      <c r="B203">
        <f>Processing_index!$S$15</f>
        <v/>
      </c>
      <c r="C203">
        <f>Processing_index!$T$15</f>
        <v/>
      </c>
      <c r="D203">
        <f>Processing_index!$U$15</f>
        <v/>
      </c>
      <c r="E203">
        <f>AVERAGE(Processing_index!$K$15)</f>
        <v/>
      </c>
      <c r="F203">
        <f>Processing_index!$W$15</f>
        <v/>
      </c>
      <c r="G203">
        <f>AVERAGE(B203:F203)</f>
        <v/>
      </c>
      <c r="H203">
        <f>MIN(B203:F203)</f>
        <v/>
      </c>
      <c r="I203">
        <f>1-alpha*MAX(0,delta-H203)</f>
        <v/>
      </c>
      <c r="J203">
        <f>G203*I203</f>
        <v/>
      </c>
      <c r="K203">
        <f>1+COUNTIF($J$194:$J$203,"&gt;"&amp;J203)</f>
        <v/>
      </c>
    </row>
    <row r="204">
      <c r="A204" s="3" t="inlineStr">
        <is>
          <t>Spearman with baseline</t>
        </is>
      </c>
      <c r="B204">
        <f>1-6*SUMPRODUCT((Processing_index!$AF$6:$AF$15-$K$194:$K$203)^2)/(10*(10^2-1))</f>
        <v/>
      </c>
    </row>
    <row r="205">
      <c r="A205" s="3" t="inlineStr">
        <is>
          <t>Units whose rank changed</t>
        </is>
      </c>
      <c r="B205">
        <f>SUMPRODUCT(--(Processing_index!$AF$6:$AF$15&lt;&gt;$K$194:$K$203))</f>
        <v/>
      </c>
    </row>
    <row r="207">
      <c r="A207" s="3" t="inlineStr">
        <is>
          <t>Without PAID_CLOUD</t>
        </is>
      </c>
    </row>
    <row r="208">
      <c r="A208" s="3" t="inlineStr">
        <is>
          <t>Unit</t>
        </is>
      </c>
      <c r="B208" s="3" t="inlineStr">
        <is>
          <t>C</t>
        </is>
      </c>
      <c r="C208" s="3" t="inlineStr">
        <is>
          <t>L1</t>
        </is>
      </c>
      <c r="D208" s="3" t="inlineStr">
        <is>
          <t>L2</t>
        </is>
      </c>
      <c r="E208" s="3" t="inlineStr">
        <is>
          <t>L3</t>
        </is>
      </c>
      <c r="F208" s="3" t="inlineStr">
        <is>
          <t>L4</t>
        </is>
      </c>
      <c r="G208" s="3" t="inlineStr">
        <is>
          <t>ADMI_base</t>
        </is>
      </c>
      <c r="H208" s="3" t="inlineStr">
        <is>
          <t>DM_min</t>
        </is>
      </c>
      <c r="I208" s="3" t="inlineStr">
        <is>
          <t>Penalty</t>
        </is>
      </c>
      <c r="J208" s="3" t="inlineStr">
        <is>
          <t>ADMI</t>
        </is>
      </c>
      <c r="K208" s="3" t="inlineStr">
        <is>
          <t>Rank</t>
        </is>
      </c>
    </row>
    <row r="209">
      <c r="A209" t="inlineStr">
        <is>
          <t>PL</t>
        </is>
      </c>
      <c r="B209">
        <f>Processing_index!$S$6</f>
        <v/>
      </c>
      <c r="C209">
        <f>Processing_index!$T$6</f>
        <v/>
      </c>
      <c r="D209">
        <f>Processing_index!$U$6</f>
        <v/>
      </c>
      <c r="E209">
        <f>AVERAGE(Processing_index!$J$6)</f>
        <v/>
      </c>
      <c r="F209">
        <f>Processing_index!$W$6</f>
        <v/>
      </c>
      <c r="G209">
        <f>AVERAGE(B209:F209)</f>
        <v/>
      </c>
      <c r="H209">
        <f>MIN(B209:F209)</f>
        <v/>
      </c>
      <c r="I209">
        <f>1-alpha*MAX(0,delta-H209)</f>
        <v/>
      </c>
      <c r="J209">
        <f>G209*I209</f>
        <v/>
      </c>
      <c r="K209">
        <f>1+COUNTIF($J$209:$J$218,"&gt;"&amp;J209)</f>
        <v/>
      </c>
    </row>
    <row r="210">
      <c r="A210" t="inlineStr">
        <is>
          <t>HU</t>
        </is>
      </c>
      <c r="B210">
        <f>Processing_index!$S$7</f>
        <v/>
      </c>
      <c r="C210">
        <f>Processing_index!$T$7</f>
        <v/>
      </c>
      <c r="D210">
        <f>Processing_index!$U$7</f>
        <v/>
      </c>
      <c r="E210">
        <f>AVERAGE(Processing_index!$J$7)</f>
        <v/>
      </c>
      <c r="F210">
        <f>Processing_index!$W$7</f>
        <v/>
      </c>
      <c r="G210">
        <f>AVERAGE(B210:F210)</f>
        <v/>
      </c>
      <c r="H210">
        <f>MIN(B210:F210)</f>
        <v/>
      </c>
      <c r="I210">
        <f>1-alpha*MAX(0,delta-H210)</f>
        <v/>
      </c>
      <c r="J210">
        <f>G210*I210</f>
        <v/>
      </c>
      <c r="K210">
        <f>1+COUNTIF($J$209:$J$218,"&gt;"&amp;J210)</f>
        <v/>
      </c>
    </row>
    <row r="211">
      <c r="A211" t="inlineStr">
        <is>
          <t>RO</t>
        </is>
      </c>
      <c r="B211">
        <f>Processing_index!$S$8</f>
        <v/>
      </c>
      <c r="C211">
        <f>Processing_index!$T$8</f>
        <v/>
      </c>
      <c r="D211">
        <f>Processing_index!$U$8</f>
        <v/>
      </c>
      <c r="E211">
        <f>AVERAGE(Processing_index!$J$8)</f>
        <v/>
      </c>
      <c r="F211">
        <f>Processing_index!$W$8</f>
        <v/>
      </c>
      <c r="G211">
        <f>AVERAGE(B211:F211)</f>
        <v/>
      </c>
      <c r="H211">
        <f>MIN(B211:F211)</f>
        <v/>
      </c>
      <c r="I211">
        <f>1-alpha*MAX(0,delta-H211)</f>
        <v/>
      </c>
      <c r="J211">
        <f>G211*I211</f>
        <v/>
      </c>
      <c r="K211">
        <f>1+COUNTIF($J$209:$J$218,"&gt;"&amp;J211)</f>
        <v/>
      </c>
    </row>
    <row r="212">
      <c r="A212" t="inlineStr">
        <is>
          <t>CZ</t>
        </is>
      </c>
      <c r="B212">
        <f>Processing_index!$S$9</f>
        <v/>
      </c>
      <c r="C212">
        <f>Processing_index!$T$9</f>
        <v/>
      </c>
      <c r="D212">
        <f>Processing_index!$U$9</f>
        <v/>
      </c>
      <c r="E212">
        <f>AVERAGE(Processing_index!$J$9)</f>
        <v/>
      </c>
      <c r="F212">
        <f>Processing_index!$W$9</f>
        <v/>
      </c>
      <c r="G212">
        <f>AVERAGE(B212:F212)</f>
        <v/>
      </c>
      <c r="H212">
        <f>MIN(B212:F212)</f>
        <v/>
      </c>
      <c r="I212">
        <f>1-alpha*MAX(0,delta-H212)</f>
        <v/>
      </c>
      <c r="J212">
        <f>G212*I212</f>
        <v/>
      </c>
      <c r="K212">
        <f>1+COUNTIF($J$209:$J$218,"&gt;"&amp;J212)</f>
        <v/>
      </c>
    </row>
    <row r="213">
      <c r="A213" t="inlineStr">
        <is>
          <t>SK</t>
        </is>
      </c>
      <c r="B213">
        <f>Processing_index!$S$10</f>
        <v/>
      </c>
      <c r="C213">
        <f>Processing_index!$T$10</f>
        <v/>
      </c>
      <c r="D213">
        <f>Processing_index!$U$10</f>
        <v/>
      </c>
      <c r="E213">
        <f>AVERAGE(Processing_index!$J$10)</f>
        <v/>
      </c>
      <c r="F213">
        <f>Processing_index!$W$10</f>
        <v/>
      </c>
      <c r="G213">
        <f>AVERAGE(B213:F213)</f>
        <v/>
      </c>
      <c r="H213">
        <f>MIN(B213:F213)</f>
        <v/>
      </c>
      <c r="I213">
        <f>1-alpha*MAX(0,delta-H213)</f>
        <v/>
      </c>
      <c r="J213">
        <f>G213*I213</f>
        <v/>
      </c>
      <c r="K213">
        <f>1+COUNTIF($J$209:$J$218,"&gt;"&amp;J213)</f>
        <v/>
      </c>
    </row>
    <row r="214">
      <c r="A214" t="inlineStr">
        <is>
          <t>LT</t>
        </is>
      </c>
      <c r="B214">
        <f>Processing_index!$S$11</f>
        <v/>
      </c>
      <c r="C214">
        <f>Processing_index!$T$11</f>
        <v/>
      </c>
      <c r="D214">
        <f>Processing_index!$U$11</f>
        <v/>
      </c>
      <c r="E214">
        <f>AVERAGE(Processing_index!$J$11)</f>
        <v/>
      </c>
      <c r="F214">
        <f>Processing_index!$W$11</f>
        <v/>
      </c>
      <c r="G214">
        <f>AVERAGE(B214:F214)</f>
        <v/>
      </c>
      <c r="H214">
        <f>MIN(B214:F214)</f>
        <v/>
      </c>
      <c r="I214">
        <f>1-alpha*MAX(0,delta-H214)</f>
        <v/>
      </c>
      <c r="J214">
        <f>G214*I214</f>
        <v/>
      </c>
      <c r="K214">
        <f>1+COUNTIF($J$209:$J$218,"&gt;"&amp;J214)</f>
        <v/>
      </c>
    </row>
    <row r="215">
      <c r="A215" t="inlineStr">
        <is>
          <t>LV</t>
        </is>
      </c>
      <c r="B215">
        <f>Processing_index!$S$12</f>
        <v/>
      </c>
      <c r="C215">
        <f>Processing_index!$T$12</f>
        <v/>
      </c>
      <c r="D215">
        <f>Processing_index!$U$12</f>
        <v/>
      </c>
      <c r="E215">
        <f>AVERAGE(Processing_index!$J$12)</f>
        <v/>
      </c>
      <c r="F215">
        <f>Processing_index!$W$12</f>
        <v/>
      </c>
      <c r="G215">
        <f>AVERAGE(B215:F215)</f>
        <v/>
      </c>
      <c r="H215">
        <f>MIN(B215:F215)</f>
        <v/>
      </c>
      <c r="I215">
        <f>1-alpha*MAX(0,delta-H215)</f>
        <v/>
      </c>
      <c r="J215">
        <f>G215*I215</f>
        <v/>
      </c>
      <c r="K215">
        <f>1+COUNTIF($J$209:$J$218,"&gt;"&amp;J215)</f>
        <v/>
      </c>
    </row>
    <row r="216">
      <c r="A216" t="inlineStr">
        <is>
          <t>EE</t>
        </is>
      </c>
      <c r="B216">
        <f>Processing_index!$S$13</f>
        <v/>
      </c>
      <c r="C216">
        <f>Processing_index!$T$13</f>
        <v/>
      </c>
      <c r="D216">
        <f>Processing_index!$U$13</f>
        <v/>
      </c>
      <c r="E216">
        <f>AVERAGE(Processing_index!$J$13)</f>
        <v/>
      </c>
      <c r="F216">
        <f>Processing_index!$W$13</f>
        <v/>
      </c>
      <c r="G216">
        <f>AVERAGE(B216:F216)</f>
        <v/>
      </c>
      <c r="H216">
        <f>MIN(B216:F216)</f>
        <v/>
      </c>
      <c r="I216">
        <f>1-alpha*MAX(0,delta-H216)</f>
        <v/>
      </c>
      <c r="J216">
        <f>G216*I216</f>
        <v/>
      </c>
      <c r="K216">
        <f>1+COUNTIF($J$209:$J$218,"&gt;"&amp;J216)</f>
        <v/>
      </c>
    </row>
    <row r="217">
      <c r="A217" t="inlineStr">
        <is>
          <t>BG</t>
        </is>
      </c>
      <c r="B217">
        <f>Processing_index!$S$14</f>
        <v/>
      </c>
      <c r="C217">
        <f>Processing_index!$T$14</f>
        <v/>
      </c>
      <c r="D217">
        <f>Processing_index!$U$14</f>
        <v/>
      </c>
      <c r="E217">
        <f>AVERAGE(Processing_index!$J$14)</f>
        <v/>
      </c>
      <c r="F217">
        <f>Processing_index!$W$14</f>
        <v/>
      </c>
      <c r="G217">
        <f>AVERAGE(B217:F217)</f>
        <v/>
      </c>
      <c r="H217">
        <f>MIN(B217:F217)</f>
        <v/>
      </c>
      <c r="I217">
        <f>1-alpha*MAX(0,delta-H217)</f>
        <v/>
      </c>
      <c r="J217">
        <f>G217*I217</f>
        <v/>
      </c>
      <c r="K217">
        <f>1+COUNTIF($J$209:$J$218,"&gt;"&amp;J217)</f>
        <v/>
      </c>
    </row>
    <row r="218">
      <c r="A218" t="inlineStr">
        <is>
          <t>UA</t>
        </is>
      </c>
      <c r="B218">
        <f>Processing_index!$S$15</f>
        <v/>
      </c>
      <c r="C218">
        <f>Processing_index!$T$15</f>
        <v/>
      </c>
      <c r="D218">
        <f>Processing_index!$U$15</f>
        <v/>
      </c>
      <c r="E218">
        <f>AVERAGE(Processing_index!$J$15)</f>
        <v/>
      </c>
      <c r="F218">
        <f>Processing_index!$W$15</f>
        <v/>
      </c>
      <c r="G218">
        <f>AVERAGE(B218:F218)</f>
        <v/>
      </c>
      <c r="H218">
        <f>MIN(B218:F218)</f>
        <v/>
      </c>
      <c r="I218">
        <f>1-alpha*MAX(0,delta-H218)</f>
        <v/>
      </c>
      <c r="J218">
        <f>G218*I218</f>
        <v/>
      </c>
      <c r="K218">
        <f>1+COUNTIF($J$209:$J$218,"&gt;"&amp;J218)</f>
        <v/>
      </c>
    </row>
    <row r="219">
      <c r="A219" s="3" t="inlineStr">
        <is>
          <t>Spearman with baseline</t>
        </is>
      </c>
      <c r="B219">
        <f>1-6*SUMPRODUCT((Processing_index!$AF$6:$AF$15-$K$209:$K$218)^2)/(10*(10^2-1))</f>
        <v/>
      </c>
    </row>
    <row r="220">
      <c r="A220" s="3" t="inlineStr">
        <is>
          <t>Units whose rank changed</t>
        </is>
      </c>
      <c r="B220">
        <f>SUMPRODUCT(--(Processing_index!$AF$6:$AF$15&lt;&gt;$K$209:$K$218))</f>
        <v/>
      </c>
    </row>
    <row r="222">
      <c r="A222" s="3" t="inlineStr">
        <is>
          <t>Without ECOMMERCE_SALES</t>
        </is>
      </c>
    </row>
    <row r="223">
      <c r="A223" s="3" t="inlineStr">
        <is>
          <t>Unit</t>
        </is>
      </c>
      <c r="B223" s="3" t="inlineStr">
        <is>
          <t>C</t>
        </is>
      </c>
      <c r="C223" s="3" t="inlineStr">
        <is>
          <t>L1</t>
        </is>
      </c>
      <c r="D223" s="3" t="inlineStr">
        <is>
          <t>L2</t>
        </is>
      </c>
      <c r="E223" s="3" t="inlineStr">
        <is>
          <t>L3</t>
        </is>
      </c>
      <c r="F223" s="3" t="inlineStr">
        <is>
          <t>L4</t>
        </is>
      </c>
      <c r="G223" s="3" t="inlineStr">
        <is>
          <t>ADMI_base</t>
        </is>
      </c>
      <c r="H223" s="3" t="inlineStr">
        <is>
          <t>DM_min</t>
        </is>
      </c>
      <c r="I223" s="3" t="inlineStr">
        <is>
          <t>Penalty</t>
        </is>
      </c>
      <c r="J223" s="3" t="inlineStr">
        <is>
          <t>ADMI</t>
        </is>
      </c>
      <c r="K223" s="3" t="inlineStr">
        <is>
          <t>Rank</t>
        </is>
      </c>
    </row>
    <row r="224">
      <c r="A224" t="inlineStr">
        <is>
          <t>PL</t>
        </is>
      </c>
      <c r="B224">
        <f>Processing_index!$S$6</f>
        <v/>
      </c>
      <c r="C224">
        <f>Processing_index!$T$6</f>
        <v/>
      </c>
      <c r="D224">
        <f>Processing_index!$U$6</f>
        <v/>
      </c>
      <c r="E224">
        <f>Processing_index!$V$6</f>
        <v/>
      </c>
      <c r="F224">
        <f>AVERAGE(Processing_index!$M$6,Processing_index!$N$6)</f>
        <v/>
      </c>
      <c r="G224">
        <f>AVERAGE(B224:F224)</f>
        <v/>
      </c>
      <c r="H224">
        <f>MIN(B224:F224)</f>
        <v/>
      </c>
      <c r="I224">
        <f>1-alpha*MAX(0,delta-H224)</f>
        <v/>
      </c>
      <c r="J224">
        <f>G224*I224</f>
        <v/>
      </c>
      <c r="K224">
        <f>1+COUNTIF($J$224:$J$233,"&gt;"&amp;J224)</f>
        <v/>
      </c>
    </row>
    <row r="225">
      <c r="A225" t="inlineStr">
        <is>
          <t>HU</t>
        </is>
      </c>
      <c r="B225">
        <f>Processing_index!$S$7</f>
        <v/>
      </c>
      <c r="C225">
        <f>Processing_index!$T$7</f>
        <v/>
      </c>
      <c r="D225">
        <f>Processing_index!$U$7</f>
        <v/>
      </c>
      <c r="E225">
        <f>Processing_index!$V$7</f>
        <v/>
      </c>
      <c r="F225">
        <f>AVERAGE(Processing_index!$M$7,Processing_index!$N$7)</f>
        <v/>
      </c>
      <c r="G225">
        <f>AVERAGE(B225:F225)</f>
        <v/>
      </c>
      <c r="H225">
        <f>MIN(B225:F225)</f>
        <v/>
      </c>
      <c r="I225">
        <f>1-alpha*MAX(0,delta-H225)</f>
        <v/>
      </c>
      <c r="J225">
        <f>G225*I225</f>
        <v/>
      </c>
      <c r="K225">
        <f>1+COUNTIF($J$224:$J$233,"&gt;"&amp;J225)</f>
        <v/>
      </c>
    </row>
    <row r="226">
      <c r="A226" t="inlineStr">
        <is>
          <t>RO</t>
        </is>
      </c>
      <c r="B226">
        <f>Processing_index!$S$8</f>
        <v/>
      </c>
      <c r="C226">
        <f>Processing_index!$T$8</f>
        <v/>
      </c>
      <c r="D226">
        <f>Processing_index!$U$8</f>
        <v/>
      </c>
      <c r="E226">
        <f>Processing_index!$V$8</f>
        <v/>
      </c>
      <c r="F226">
        <f>AVERAGE(Processing_index!$M$8,Processing_index!$N$8)</f>
        <v/>
      </c>
      <c r="G226">
        <f>AVERAGE(B226:F226)</f>
        <v/>
      </c>
      <c r="H226">
        <f>MIN(B226:F226)</f>
        <v/>
      </c>
      <c r="I226">
        <f>1-alpha*MAX(0,delta-H226)</f>
        <v/>
      </c>
      <c r="J226">
        <f>G226*I226</f>
        <v/>
      </c>
      <c r="K226">
        <f>1+COUNTIF($J$224:$J$233,"&gt;"&amp;J226)</f>
        <v/>
      </c>
    </row>
    <row r="227">
      <c r="A227" t="inlineStr">
        <is>
          <t>CZ</t>
        </is>
      </c>
      <c r="B227">
        <f>Processing_index!$S$9</f>
        <v/>
      </c>
      <c r="C227">
        <f>Processing_index!$T$9</f>
        <v/>
      </c>
      <c r="D227">
        <f>Processing_index!$U$9</f>
        <v/>
      </c>
      <c r="E227">
        <f>Processing_index!$V$9</f>
        <v/>
      </c>
      <c r="F227">
        <f>AVERAGE(Processing_index!$M$9,Processing_index!$N$9)</f>
        <v/>
      </c>
      <c r="G227">
        <f>AVERAGE(B227:F227)</f>
        <v/>
      </c>
      <c r="H227">
        <f>MIN(B227:F227)</f>
        <v/>
      </c>
      <c r="I227">
        <f>1-alpha*MAX(0,delta-H227)</f>
        <v/>
      </c>
      <c r="J227">
        <f>G227*I227</f>
        <v/>
      </c>
      <c r="K227">
        <f>1+COUNTIF($J$224:$J$233,"&gt;"&amp;J227)</f>
        <v/>
      </c>
    </row>
    <row r="228">
      <c r="A228" t="inlineStr">
        <is>
          <t>SK</t>
        </is>
      </c>
      <c r="B228">
        <f>Processing_index!$S$10</f>
        <v/>
      </c>
      <c r="C228">
        <f>Processing_index!$T$10</f>
        <v/>
      </c>
      <c r="D228">
        <f>Processing_index!$U$10</f>
        <v/>
      </c>
      <c r="E228">
        <f>Processing_index!$V$10</f>
        <v/>
      </c>
      <c r="F228">
        <f>AVERAGE(Processing_index!$M$10,Processing_index!$N$10)</f>
        <v/>
      </c>
      <c r="G228">
        <f>AVERAGE(B228:F228)</f>
        <v/>
      </c>
      <c r="H228">
        <f>MIN(B228:F228)</f>
        <v/>
      </c>
      <c r="I228">
        <f>1-alpha*MAX(0,delta-H228)</f>
        <v/>
      </c>
      <c r="J228">
        <f>G228*I228</f>
        <v/>
      </c>
      <c r="K228">
        <f>1+COUNTIF($J$224:$J$233,"&gt;"&amp;J228)</f>
        <v/>
      </c>
    </row>
    <row r="229">
      <c r="A229" t="inlineStr">
        <is>
          <t>LT</t>
        </is>
      </c>
      <c r="B229">
        <f>Processing_index!$S$11</f>
        <v/>
      </c>
      <c r="C229">
        <f>Processing_index!$T$11</f>
        <v/>
      </c>
      <c r="D229">
        <f>Processing_index!$U$11</f>
        <v/>
      </c>
      <c r="E229">
        <f>Processing_index!$V$11</f>
        <v/>
      </c>
      <c r="F229">
        <f>AVERAGE(Processing_index!$M$11,Processing_index!$N$11)</f>
        <v/>
      </c>
      <c r="G229">
        <f>AVERAGE(B229:F229)</f>
        <v/>
      </c>
      <c r="H229">
        <f>MIN(B229:F229)</f>
        <v/>
      </c>
      <c r="I229">
        <f>1-alpha*MAX(0,delta-H229)</f>
        <v/>
      </c>
      <c r="J229">
        <f>G229*I229</f>
        <v/>
      </c>
      <c r="K229">
        <f>1+COUNTIF($J$224:$J$233,"&gt;"&amp;J229)</f>
        <v/>
      </c>
    </row>
    <row r="230">
      <c r="A230" t="inlineStr">
        <is>
          <t>LV</t>
        </is>
      </c>
      <c r="B230">
        <f>Processing_index!$S$12</f>
        <v/>
      </c>
      <c r="C230">
        <f>Processing_index!$T$12</f>
        <v/>
      </c>
      <c r="D230">
        <f>Processing_index!$U$12</f>
        <v/>
      </c>
      <c r="E230">
        <f>Processing_index!$V$12</f>
        <v/>
      </c>
      <c r="F230">
        <f>AVERAGE(Processing_index!$M$12,Processing_index!$N$12)</f>
        <v/>
      </c>
      <c r="G230">
        <f>AVERAGE(B230:F230)</f>
        <v/>
      </c>
      <c r="H230">
        <f>MIN(B230:F230)</f>
        <v/>
      </c>
      <c r="I230">
        <f>1-alpha*MAX(0,delta-H230)</f>
        <v/>
      </c>
      <c r="J230">
        <f>G230*I230</f>
        <v/>
      </c>
      <c r="K230">
        <f>1+COUNTIF($J$224:$J$233,"&gt;"&amp;J230)</f>
        <v/>
      </c>
    </row>
    <row r="231">
      <c r="A231" t="inlineStr">
        <is>
          <t>EE</t>
        </is>
      </c>
      <c r="B231">
        <f>Processing_index!$S$13</f>
        <v/>
      </c>
      <c r="C231">
        <f>Processing_index!$T$13</f>
        <v/>
      </c>
      <c r="D231">
        <f>Processing_index!$U$13</f>
        <v/>
      </c>
      <c r="E231">
        <f>Processing_index!$V$13</f>
        <v/>
      </c>
      <c r="F231">
        <f>AVERAGE(Processing_index!$M$13,Processing_index!$N$13)</f>
        <v/>
      </c>
      <c r="G231">
        <f>AVERAGE(B231:F231)</f>
        <v/>
      </c>
      <c r="H231">
        <f>MIN(B231:F231)</f>
        <v/>
      </c>
      <c r="I231">
        <f>1-alpha*MAX(0,delta-H231)</f>
        <v/>
      </c>
      <c r="J231">
        <f>G231*I231</f>
        <v/>
      </c>
      <c r="K231">
        <f>1+COUNTIF($J$224:$J$233,"&gt;"&amp;J231)</f>
        <v/>
      </c>
    </row>
    <row r="232">
      <c r="A232" t="inlineStr">
        <is>
          <t>BG</t>
        </is>
      </c>
      <c r="B232">
        <f>Processing_index!$S$14</f>
        <v/>
      </c>
      <c r="C232">
        <f>Processing_index!$T$14</f>
        <v/>
      </c>
      <c r="D232">
        <f>Processing_index!$U$14</f>
        <v/>
      </c>
      <c r="E232">
        <f>Processing_index!$V$14</f>
        <v/>
      </c>
      <c r="F232">
        <f>AVERAGE(Processing_index!$M$14,Processing_index!$N$14)</f>
        <v/>
      </c>
      <c r="G232">
        <f>AVERAGE(B232:F232)</f>
        <v/>
      </c>
      <c r="H232">
        <f>MIN(B232:F232)</f>
        <v/>
      </c>
      <c r="I232">
        <f>1-alpha*MAX(0,delta-H232)</f>
        <v/>
      </c>
      <c r="J232">
        <f>G232*I232</f>
        <v/>
      </c>
      <c r="K232">
        <f>1+COUNTIF($J$224:$J$233,"&gt;"&amp;J232)</f>
        <v/>
      </c>
    </row>
    <row r="233">
      <c r="A233" t="inlineStr">
        <is>
          <t>UA</t>
        </is>
      </c>
      <c r="B233">
        <f>Processing_index!$S$15</f>
        <v/>
      </c>
      <c r="C233">
        <f>Processing_index!$T$15</f>
        <v/>
      </c>
      <c r="D233">
        <f>Processing_index!$U$15</f>
        <v/>
      </c>
      <c r="E233">
        <f>Processing_index!$V$15</f>
        <v/>
      </c>
      <c r="F233">
        <f>AVERAGE(Processing_index!$M$15,Processing_index!$N$15)</f>
        <v/>
      </c>
      <c r="G233">
        <f>AVERAGE(B233:F233)</f>
        <v/>
      </c>
      <c r="H233">
        <f>MIN(B233:F233)</f>
        <v/>
      </c>
      <c r="I233">
        <f>1-alpha*MAX(0,delta-H233)</f>
        <v/>
      </c>
      <c r="J233">
        <f>G233*I233</f>
        <v/>
      </c>
      <c r="K233">
        <f>1+COUNTIF($J$224:$J$233,"&gt;"&amp;J233)</f>
        <v/>
      </c>
    </row>
    <row r="234">
      <c r="A234" s="3" t="inlineStr">
        <is>
          <t>Spearman with baseline</t>
        </is>
      </c>
      <c r="B234">
        <f>1-6*SUMPRODUCT((Processing_index!$AF$6:$AF$15-$K$224:$K$233)^2)/(10*(10^2-1))</f>
        <v/>
      </c>
    </row>
    <row r="235">
      <c r="A235" s="3" t="inlineStr">
        <is>
          <t>Units whose rank changed</t>
        </is>
      </c>
      <c r="B235">
        <f>SUMPRODUCT(--(Processing_index!$AF$6:$AF$15&lt;&gt;$K$224:$K$233))</f>
        <v/>
      </c>
    </row>
    <row r="237">
      <c r="A237" s="3" t="inlineStr">
        <is>
          <t>Without WEBSITE</t>
        </is>
      </c>
    </row>
    <row r="238">
      <c r="A238" s="3" t="inlineStr">
        <is>
          <t>Unit</t>
        </is>
      </c>
      <c r="B238" s="3" t="inlineStr">
        <is>
          <t>C</t>
        </is>
      </c>
      <c r="C238" s="3" t="inlineStr">
        <is>
          <t>L1</t>
        </is>
      </c>
      <c r="D238" s="3" t="inlineStr">
        <is>
          <t>L2</t>
        </is>
      </c>
      <c r="E238" s="3" t="inlineStr">
        <is>
          <t>L3</t>
        </is>
      </c>
      <c r="F238" s="3" t="inlineStr">
        <is>
          <t>L4</t>
        </is>
      </c>
      <c r="G238" s="3" t="inlineStr">
        <is>
          <t>ADMI_base</t>
        </is>
      </c>
      <c r="H238" s="3" t="inlineStr">
        <is>
          <t>DM_min</t>
        </is>
      </c>
      <c r="I238" s="3" t="inlineStr">
        <is>
          <t>Penalty</t>
        </is>
      </c>
      <c r="J238" s="3" t="inlineStr">
        <is>
          <t>ADMI</t>
        </is>
      </c>
      <c r="K238" s="3" t="inlineStr">
        <is>
          <t>Rank</t>
        </is>
      </c>
    </row>
    <row r="239">
      <c r="A239" t="inlineStr">
        <is>
          <t>PL</t>
        </is>
      </c>
      <c r="B239">
        <f>Processing_index!$S$6</f>
        <v/>
      </c>
      <c r="C239">
        <f>Processing_index!$T$6</f>
        <v/>
      </c>
      <c r="D239">
        <f>Processing_index!$U$6</f>
        <v/>
      </c>
      <c r="E239">
        <f>Processing_index!$V$6</f>
        <v/>
      </c>
      <c r="F239">
        <f>AVERAGE(Processing_index!$L$6,Processing_index!$N$6)</f>
        <v/>
      </c>
      <c r="G239">
        <f>AVERAGE(B239:F239)</f>
        <v/>
      </c>
      <c r="H239">
        <f>MIN(B239:F239)</f>
        <v/>
      </c>
      <c r="I239">
        <f>1-alpha*MAX(0,delta-H239)</f>
        <v/>
      </c>
      <c r="J239">
        <f>G239*I239</f>
        <v/>
      </c>
      <c r="K239">
        <f>1+COUNTIF($J$239:$J$248,"&gt;"&amp;J239)</f>
        <v/>
      </c>
    </row>
    <row r="240">
      <c r="A240" t="inlineStr">
        <is>
          <t>HU</t>
        </is>
      </c>
      <c r="B240">
        <f>Processing_index!$S$7</f>
        <v/>
      </c>
      <c r="C240">
        <f>Processing_index!$T$7</f>
        <v/>
      </c>
      <c r="D240">
        <f>Processing_index!$U$7</f>
        <v/>
      </c>
      <c r="E240">
        <f>Processing_index!$V$7</f>
        <v/>
      </c>
      <c r="F240">
        <f>AVERAGE(Processing_index!$L$7,Processing_index!$N$7)</f>
        <v/>
      </c>
      <c r="G240">
        <f>AVERAGE(B240:F240)</f>
        <v/>
      </c>
      <c r="H240">
        <f>MIN(B240:F240)</f>
        <v/>
      </c>
      <c r="I240">
        <f>1-alpha*MAX(0,delta-H240)</f>
        <v/>
      </c>
      <c r="J240">
        <f>G240*I240</f>
        <v/>
      </c>
      <c r="K240">
        <f>1+COUNTIF($J$239:$J$248,"&gt;"&amp;J240)</f>
        <v/>
      </c>
    </row>
    <row r="241">
      <c r="A241" t="inlineStr">
        <is>
          <t>RO</t>
        </is>
      </c>
      <c r="B241">
        <f>Processing_index!$S$8</f>
        <v/>
      </c>
      <c r="C241">
        <f>Processing_index!$T$8</f>
        <v/>
      </c>
      <c r="D241">
        <f>Processing_index!$U$8</f>
        <v/>
      </c>
      <c r="E241">
        <f>Processing_index!$V$8</f>
        <v/>
      </c>
      <c r="F241">
        <f>AVERAGE(Processing_index!$L$8,Processing_index!$N$8)</f>
        <v/>
      </c>
      <c r="G241">
        <f>AVERAGE(B241:F241)</f>
        <v/>
      </c>
      <c r="H241">
        <f>MIN(B241:F241)</f>
        <v/>
      </c>
      <c r="I241">
        <f>1-alpha*MAX(0,delta-H241)</f>
        <v/>
      </c>
      <c r="J241">
        <f>G241*I241</f>
        <v/>
      </c>
      <c r="K241">
        <f>1+COUNTIF($J$239:$J$248,"&gt;"&amp;J241)</f>
        <v/>
      </c>
    </row>
    <row r="242">
      <c r="A242" t="inlineStr">
        <is>
          <t>CZ</t>
        </is>
      </c>
      <c r="B242">
        <f>Processing_index!$S$9</f>
        <v/>
      </c>
      <c r="C242">
        <f>Processing_index!$T$9</f>
        <v/>
      </c>
      <c r="D242">
        <f>Processing_index!$U$9</f>
        <v/>
      </c>
      <c r="E242">
        <f>Processing_index!$V$9</f>
        <v/>
      </c>
      <c r="F242">
        <f>AVERAGE(Processing_index!$L$9,Processing_index!$N$9)</f>
        <v/>
      </c>
      <c r="G242">
        <f>AVERAGE(B242:F242)</f>
        <v/>
      </c>
      <c r="H242">
        <f>MIN(B242:F242)</f>
        <v/>
      </c>
      <c r="I242">
        <f>1-alpha*MAX(0,delta-H242)</f>
        <v/>
      </c>
      <c r="J242">
        <f>G242*I242</f>
        <v/>
      </c>
      <c r="K242">
        <f>1+COUNTIF($J$239:$J$248,"&gt;"&amp;J242)</f>
        <v/>
      </c>
    </row>
    <row r="243">
      <c r="A243" t="inlineStr">
        <is>
          <t>SK</t>
        </is>
      </c>
      <c r="B243">
        <f>Processing_index!$S$10</f>
        <v/>
      </c>
      <c r="C243">
        <f>Processing_index!$T$10</f>
        <v/>
      </c>
      <c r="D243">
        <f>Processing_index!$U$10</f>
        <v/>
      </c>
      <c r="E243">
        <f>Processing_index!$V$10</f>
        <v/>
      </c>
      <c r="F243">
        <f>AVERAGE(Processing_index!$L$10,Processing_index!$N$10)</f>
        <v/>
      </c>
      <c r="G243">
        <f>AVERAGE(B243:F243)</f>
        <v/>
      </c>
      <c r="H243">
        <f>MIN(B243:F243)</f>
        <v/>
      </c>
      <c r="I243">
        <f>1-alpha*MAX(0,delta-H243)</f>
        <v/>
      </c>
      <c r="J243">
        <f>G243*I243</f>
        <v/>
      </c>
      <c r="K243">
        <f>1+COUNTIF($J$239:$J$248,"&gt;"&amp;J243)</f>
        <v/>
      </c>
    </row>
    <row r="244">
      <c r="A244" t="inlineStr">
        <is>
          <t>LT</t>
        </is>
      </c>
      <c r="B244">
        <f>Processing_index!$S$11</f>
        <v/>
      </c>
      <c r="C244">
        <f>Processing_index!$T$11</f>
        <v/>
      </c>
      <c r="D244">
        <f>Processing_index!$U$11</f>
        <v/>
      </c>
      <c r="E244">
        <f>Processing_index!$V$11</f>
        <v/>
      </c>
      <c r="F244">
        <f>AVERAGE(Processing_index!$L$11,Processing_index!$N$11)</f>
        <v/>
      </c>
      <c r="G244">
        <f>AVERAGE(B244:F244)</f>
        <v/>
      </c>
      <c r="H244">
        <f>MIN(B244:F244)</f>
        <v/>
      </c>
      <c r="I244">
        <f>1-alpha*MAX(0,delta-H244)</f>
        <v/>
      </c>
      <c r="J244">
        <f>G244*I244</f>
        <v/>
      </c>
      <c r="K244">
        <f>1+COUNTIF($J$239:$J$248,"&gt;"&amp;J244)</f>
        <v/>
      </c>
    </row>
    <row r="245">
      <c r="A245" t="inlineStr">
        <is>
          <t>LV</t>
        </is>
      </c>
      <c r="B245">
        <f>Processing_index!$S$12</f>
        <v/>
      </c>
      <c r="C245">
        <f>Processing_index!$T$12</f>
        <v/>
      </c>
      <c r="D245">
        <f>Processing_index!$U$12</f>
        <v/>
      </c>
      <c r="E245">
        <f>Processing_index!$V$12</f>
        <v/>
      </c>
      <c r="F245">
        <f>AVERAGE(Processing_index!$L$12,Processing_index!$N$12)</f>
        <v/>
      </c>
      <c r="G245">
        <f>AVERAGE(B245:F245)</f>
        <v/>
      </c>
      <c r="H245">
        <f>MIN(B245:F245)</f>
        <v/>
      </c>
      <c r="I245">
        <f>1-alpha*MAX(0,delta-H245)</f>
        <v/>
      </c>
      <c r="J245">
        <f>G245*I245</f>
        <v/>
      </c>
      <c r="K245">
        <f>1+COUNTIF($J$239:$J$248,"&gt;"&amp;J245)</f>
        <v/>
      </c>
    </row>
    <row r="246">
      <c r="A246" t="inlineStr">
        <is>
          <t>EE</t>
        </is>
      </c>
      <c r="B246">
        <f>Processing_index!$S$13</f>
        <v/>
      </c>
      <c r="C246">
        <f>Processing_index!$T$13</f>
        <v/>
      </c>
      <c r="D246">
        <f>Processing_index!$U$13</f>
        <v/>
      </c>
      <c r="E246">
        <f>Processing_index!$V$13</f>
        <v/>
      </c>
      <c r="F246">
        <f>AVERAGE(Processing_index!$L$13,Processing_index!$N$13)</f>
        <v/>
      </c>
      <c r="G246">
        <f>AVERAGE(B246:F246)</f>
        <v/>
      </c>
      <c r="H246">
        <f>MIN(B246:F246)</f>
        <v/>
      </c>
      <c r="I246">
        <f>1-alpha*MAX(0,delta-H246)</f>
        <v/>
      </c>
      <c r="J246">
        <f>G246*I246</f>
        <v/>
      </c>
      <c r="K246">
        <f>1+COUNTIF($J$239:$J$248,"&gt;"&amp;J246)</f>
        <v/>
      </c>
    </row>
    <row r="247">
      <c r="A247" t="inlineStr">
        <is>
          <t>BG</t>
        </is>
      </c>
      <c r="B247">
        <f>Processing_index!$S$14</f>
        <v/>
      </c>
      <c r="C247">
        <f>Processing_index!$T$14</f>
        <v/>
      </c>
      <c r="D247">
        <f>Processing_index!$U$14</f>
        <v/>
      </c>
      <c r="E247">
        <f>Processing_index!$V$14</f>
        <v/>
      </c>
      <c r="F247">
        <f>AVERAGE(Processing_index!$L$14,Processing_index!$N$14)</f>
        <v/>
      </c>
      <c r="G247">
        <f>AVERAGE(B247:F247)</f>
        <v/>
      </c>
      <c r="H247">
        <f>MIN(B247:F247)</f>
        <v/>
      </c>
      <c r="I247">
        <f>1-alpha*MAX(0,delta-H247)</f>
        <v/>
      </c>
      <c r="J247">
        <f>G247*I247</f>
        <v/>
      </c>
      <c r="K247">
        <f>1+COUNTIF($J$239:$J$248,"&gt;"&amp;J247)</f>
        <v/>
      </c>
    </row>
    <row r="248">
      <c r="A248" t="inlineStr">
        <is>
          <t>UA</t>
        </is>
      </c>
      <c r="B248">
        <f>Processing_index!$S$15</f>
        <v/>
      </c>
      <c r="C248">
        <f>Processing_index!$T$15</f>
        <v/>
      </c>
      <c r="D248">
        <f>Processing_index!$U$15</f>
        <v/>
      </c>
      <c r="E248">
        <f>Processing_index!$V$15</f>
        <v/>
      </c>
      <c r="F248">
        <f>AVERAGE(Processing_index!$L$15,Processing_index!$N$15)</f>
        <v/>
      </c>
      <c r="G248">
        <f>AVERAGE(B248:F248)</f>
        <v/>
      </c>
      <c r="H248">
        <f>MIN(B248:F248)</f>
        <v/>
      </c>
      <c r="I248">
        <f>1-alpha*MAX(0,delta-H248)</f>
        <v/>
      </c>
      <c r="J248">
        <f>G248*I248</f>
        <v/>
      </c>
      <c r="K248">
        <f>1+COUNTIF($J$239:$J$248,"&gt;"&amp;J248)</f>
        <v/>
      </c>
    </row>
    <row r="249">
      <c r="A249" s="3" t="inlineStr">
        <is>
          <t>Spearman with baseline</t>
        </is>
      </c>
      <c r="B249">
        <f>1-6*SUMPRODUCT((Processing_index!$AF$6:$AF$15-$K$239:$K$248)^2)/(10*(10^2-1))</f>
        <v/>
      </c>
    </row>
    <row r="250">
      <c r="A250" s="3" t="inlineStr">
        <is>
          <t>Units whose rank changed</t>
        </is>
      </c>
      <c r="B250">
        <f>SUMPRODUCT(--(Processing_index!$AF$6:$AF$15&lt;&gt;$K$239:$K$248))</f>
        <v/>
      </c>
    </row>
    <row r="252">
      <c r="A252" s="3" t="inlineStr">
        <is>
          <t>Without CRM</t>
        </is>
      </c>
    </row>
    <row r="253">
      <c r="A253" s="3" t="inlineStr">
        <is>
          <t>Unit</t>
        </is>
      </c>
      <c r="B253" s="3" t="inlineStr">
        <is>
          <t>C</t>
        </is>
      </c>
      <c r="C253" s="3" t="inlineStr">
        <is>
          <t>L1</t>
        </is>
      </c>
      <c r="D253" s="3" t="inlineStr">
        <is>
          <t>L2</t>
        </is>
      </c>
      <c r="E253" s="3" t="inlineStr">
        <is>
          <t>L3</t>
        </is>
      </c>
      <c r="F253" s="3" t="inlineStr">
        <is>
          <t>L4</t>
        </is>
      </c>
      <c r="G253" s="3" t="inlineStr">
        <is>
          <t>ADMI_base</t>
        </is>
      </c>
      <c r="H253" s="3" t="inlineStr">
        <is>
          <t>DM_min</t>
        </is>
      </c>
      <c r="I253" s="3" t="inlineStr">
        <is>
          <t>Penalty</t>
        </is>
      </c>
      <c r="J253" s="3" t="inlineStr">
        <is>
          <t>ADMI</t>
        </is>
      </c>
      <c r="K253" s="3" t="inlineStr">
        <is>
          <t>Rank</t>
        </is>
      </c>
    </row>
    <row r="254">
      <c r="A254" t="inlineStr">
        <is>
          <t>PL</t>
        </is>
      </c>
      <c r="B254">
        <f>Processing_index!$S$6</f>
        <v/>
      </c>
      <c r="C254">
        <f>Processing_index!$T$6</f>
        <v/>
      </c>
      <c r="D254">
        <f>Processing_index!$U$6</f>
        <v/>
      </c>
      <c r="E254">
        <f>Processing_index!$V$6</f>
        <v/>
      </c>
      <c r="F254">
        <f>AVERAGE(Processing_index!$L$6,Processing_index!$M$6)</f>
        <v/>
      </c>
      <c r="G254">
        <f>AVERAGE(B254:F254)</f>
        <v/>
      </c>
      <c r="H254">
        <f>MIN(B254:F254)</f>
        <v/>
      </c>
      <c r="I254">
        <f>1-alpha*MAX(0,delta-H254)</f>
        <v/>
      </c>
      <c r="J254">
        <f>G254*I254</f>
        <v/>
      </c>
      <c r="K254">
        <f>1+COUNTIF($J$254:$J$263,"&gt;"&amp;J254)</f>
        <v/>
      </c>
    </row>
    <row r="255">
      <c r="A255" t="inlineStr">
        <is>
          <t>HU</t>
        </is>
      </c>
      <c r="B255">
        <f>Processing_index!$S$7</f>
        <v/>
      </c>
      <c r="C255">
        <f>Processing_index!$T$7</f>
        <v/>
      </c>
      <c r="D255">
        <f>Processing_index!$U$7</f>
        <v/>
      </c>
      <c r="E255">
        <f>Processing_index!$V$7</f>
        <v/>
      </c>
      <c r="F255">
        <f>AVERAGE(Processing_index!$L$7,Processing_index!$M$7)</f>
        <v/>
      </c>
      <c r="G255">
        <f>AVERAGE(B255:F255)</f>
        <v/>
      </c>
      <c r="H255">
        <f>MIN(B255:F255)</f>
        <v/>
      </c>
      <c r="I255">
        <f>1-alpha*MAX(0,delta-H255)</f>
        <v/>
      </c>
      <c r="J255">
        <f>G255*I255</f>
        <v/>
      </c>
      <c r="K255">
        <f>1+COUNTIF($J$254:$J$263,"&gt;"&amp;J255)</f>
        <v/>
      </c>
    </row>
    <row r="256">
      <c r="A256" t="inlineStr">
        <is>
          <t>RO</t>
        </is>
      </c>
      <c r="B256">
        <f>Processing_index!$S$8</f>
        <v/>
      </c>
      <c r="C256">
        <f>Processing_index!$T$8</f>
        <v/>
      </c>
      <c r="D256">
        <f>Processing_index!$U$8</f>
        <v/>
      </c>
      <c r="E256">
        <f>Processing_index!$V$8</f>
        <v/>
      </c>
      <c r="F256">
        <f>AVERAGE(Processing_index!$L$8,Processing_index!$M$8)</f>
        <v/>
      </c>
      <c r="G256">
        <f>AVERAGE(B256:F256)</f>
        <v/>
      </c>
      <c r="H256">
        <f>MIN(B256:F256)</f>
        <v/>
      </c>
      <c r="I256">
        <f>1-alpha*MAX(0,delta-H256)</f>
        <v/>
      </c>
      <c r="J256">
        <f>G256*I256</f>
        <v/>
      </c>
      <c r="K256">
        <f>1+COUNTIF($J$254:$J$263,"&gt;"&amp;J256)</f>
        <v/>
      </c>
    </row>
    <row r="257">
      <c r="A257" t="inlineStr">
        <is>
          <t>CZ</t>
        </is>
      </c>
      <c r="B257">
        <f>Processing_index!$S$9</f>
        <v/>
      </c>
      <c r="C257">
        <f>Processing_index!$T$9</f>
        <v/>
      </c>
      <c r="D257">
        <f>Processing_index!$U$9</f>
        <v/>
      </c>
      <c r="E257">
        <f>Processing_index!$V$9</f>
        <v/>
      </c>
      <c r="F257">
        <f>AVERAGE(Processing_index!$L$9,Processing_index!$M$9)</f>
        <v/>
      </c>
      <c r="G257">
        <f>AVERAGE(B257:F257)</f>
        <v/>
      </c>
      <c r="H257">
        <f>MIN(B257:F257)</f>
        <v/>
      </c>
      <c r="I257">
        <f>1-alpha*MAX(0,delta-H257)</f>
        <v/>
      </c>
      <c r="J257">
        <f>G257*I257</f>
        <v/>
      </c>
      <c r="K257">
        <f>1+COUNTIF($J$254:$J$263,"&gt;"&amp;J257)</f>
        <v/>
      </c>
    </row>
    <row r="258">
      <c r="A258" t="inlineStr">
        <is>
          <t>SK</t>
        </is>
      </c>
      <c r="B258">
        <f>Processing_index!$S$10</f>
        <v/>
      </c>
      <c r="C258">
        <f>Processing_index!$T$10</f>
        <v/>
      </c>
      <c r="D258">
        <f>Processing_index!$U$10</f>
        <v/>
      </c>
      <c r="E258">
        <f>Processing_index!$V$10</f>
        <v/>
      </c>
      <c r="F258">
        <f>AVERAGE(Processing_index!$L$10,Processing_index!$M$10)</f>
        <v/>
      </c>
      <c r="G258">
        <f>AVERAGE(B258:F258)</f>
        <v/>
      </c>
      <c r="H258">
        <f>MIN(B258:F258)</f>
        <v/>
      </c>
      <c r="I258">
        <f>1-alpha*MAX(0,delta-H258)</f>
        <v/>
      </c>
      <c r="J258">
        <f>G258*I258</f>
        <v/>
      </c>
      <c r="K258">
        <f>1+COUNTIF($J$254:$J$263,"&gt;"&amp;J258)</f>
        <v/>
      </c>
    </row>
    <row r="259">
      <c r="A259" t="inlineStr">
        <is>
          <t>LT</t>
        </is>
      </c>
      <c r="B259">
        <f>Processing_index!$S$11</f>
        <v/>
      </c>
      <c r="C259">
        <f>Processing_index!$T$11</f>
        <v/>
      </c>
      <c r="D259">
        <f>Processing_index!$U$11</f>
        <v/>
      </c>
      <c r="E259">
        <f>Processing_index!$V$11</f>
        <v/>
      </c>
      <c r="F259">
        <f>AVERAGE(Processing_index!$L$11,Processing_index!$M$11)</f>
        <v/>
      </c>
      <c r="G259">
        <f>AVERAGE(B259:F259)</f>
        <v/>
      </c>
      <c r="H259">
        <f>MIN(B259:F259)</f>
        <v/>
      </c>
      <c r="I259">
        <f>1-alpha*MAX(0,delta-H259)</f>
        <v/>
      </c>
      <c r="J259">
        <f>G259*I259</f>
        <v/>
      </c>
      <c r="K259">
        <f>1+COUNTIF($J$254:$J$263,"&gt;"&amp;J259)</f>
        <v/>
      </c>
    </row>
    <row r="260">
      <c r="A260" t="inlineStr">
        <is>
          <t>LV</t>
        </is>
      </c>
      <c r="B260">
        <f>Processing_index!$S$12</f>
        <v/>
      </c>
      <c r="C260">
        <f>Processing_index!$T$12</f>
        <v/>
      </c>
      <c r="D260">
        <f>Processing_index!$U$12</f>
        <v/>
      </c>
      <c r="E260">
        <f>Processing_index!$V$12</f>
        <v/>
      </c>
      <c r="F260">
        <f>AVERAGE(Processing_index!$L$12,Processing_index!$M$12)</f>
        <v/>
      </c>
      <c r="G260">
        <f>AVERAGE(B260:F260)</f>
        <v/>
      </c>
      <c r="H260">
        <f>MIN(B260:F260)</f>
        <v/>
      </c>
      <c r="I260">
        <f>1-alpha*MAX(0,delta-H260)</f>
        <v/>
      </c>
      <c r="J260">
        <f>G260*I260</f>
        <v/>
      </c>
      <c r="K260">
        <f>1+COUNTIF($J$254:$J$263,"&gt;"&amp;J260)</f>
        <v/>
      </c>
    </row>
    <row r="261">
      <c r="A261" t="inlineStr">
        <is>
          <t>EE</t>
        </is>
      </c>
      <c r="B261">
        <f>Processing_index!$S$13</f>
        <v/>
      </c>
      <c r="C261">
        <f>Processing_index!$T$13</f>
        <v/>
      </c>
      <c r="D261">
        <f>Processing_index!$U$13</f>
        <v/>
      </c>
      <c r="E261">
        <f>Processing_index!$V$13</f>
        <v/>
      </c>
      <c r="F261">
        <f>AVERAGE(Processing_index!$L$13,Processing_index!$M$13)</f>
        <v/>
      </c>
      <c r="G261">
        <f>AVERAGE(B261:F261)</f>
        <v/>
      </c>
      <c r="H261">
        <f>MIN(B261:F261)</f>
        <v/>
      </c>
      <c r="I261">
        <f>1-alpha*MAX(0,delta-H261)</f>
        <v/>
      </c>
      <c r="J261">
        <f>G261*I261</f>
        <v/>
      </c>
      <c r="K261">
        <f>1+COUNTIF($J$254:$J$263,"&gt;"&amp;J261)</f>
        <v/>
      </c>
    </row>
    <row r="262">
      <c r="A262" t="inlineStr">
        <is>
          <t>BG</t>
        </is>
      </c>
      <c r="B262">
        <f>Processing_index!$S$14</f>
        <v/>
      </c>
      <c r="C262">
        <f>Processing_index!$T$14</f>
        <v/>
      </c>
      <c r="D262">
        <f>Processing_index!$U$14</f>
        <v/>
      </c>
      <c r="E262">
        <f>Processing_index!$V$14</f>
        <v/>
      </c>
      <c r="F262">
        <f>AVERAGE(Processing_index!$L$14,Processing_index!$M$14)</f>
        <v/>
      </c>
      <c r="G262">
        <f>AVERAGE(B262:F262)</f>
        <v/>
      </c>
      <c r="H262">
        <f>MIN(B262:F262)</f>
        <v/>
      </c>
      <c r="I262">
        <f>1-alpha*MAX(0,delta-H262)</f>
        <v/>
      </c>
      <c r="J262">
        <f>G262*I262</f>
        <v/>
      </c>
      <c r="K262">
        <f>1+COUNTIF($J$254:$J$263,"&gt;"&amp;J262)</f>
        <v/>
      </c>
    </row>
    <row r="263">
      <c r="A263" t="inlineStr">
        <is>
          <t>UA</t>
        </is>
      </c>
      <c r="B263">
        <f>Processing_index!$S$15</f>
        <v/>
      </c>
      <c r="C263">
        <f>Processing_index!$T$15</f>
        <v/>
      </c>
      <c r="D263">
        <f>Processing_index!$U$15</f>
        <v/>
      </c>
      <c r="E263">
        <f>Processing_index!$V$15</f>
        <v/>
      </c>
      <c r="F263">
        <f>AVERAGE(Processing_index!$L$15,Processing_index!$M$15)</f>
        <v/>
      </c>
      <c r="G263">
        <f>AVERAGE(B263:F263)</f>
        <v/>
      </c>
      <c r="H263">
        <f>MIN(B263:F263)</f>
        <v/>
      </c>
      <c r="I263">
        <f>1-alpha*MAX(0,delta-H263)</f>
        <v/>
      </c>
      <c r="J263">
        <f>G263*I263</f>
        <v/>
      </c>
      <c r="K263">
        <f>1+COUNTIF($J$254:$J$263,"&gt;"&amp;J263)</f>
        <v/>
      </c>
    </row>
    <row r="264">
      <c r="A264" s="3" t="inlineStr">
        <is>
          <t>Spearman with baseline</t>
        </is>
      </c>
      <c r="B264">
        <f>1-6*SUMPRODUCT((Processing_index!$AF$6:$AF$15-$K$254:$K$263)^2)/(10*(10^2-1))</f>
        <v/>
      </c>
    </row>
    <row r="265">
      <c r="A265" s="3" t="inlineStr">
        <is>
          <t>Units whose rank changed</t>
        </is>
      </c>
      <c r="B265">
        <f>SUMPRODUCT(--(Processing_index!$AF$6:$AF$15&lt;&gt;$K$254:$K$263))</f>
        <v/>
      </c>
    </row>
    <row r="267">
      <c r="A267" s="3" t="inlineStr">
        <is>
          <t>Leave one layer out: four-layer index</t>
        </is>
      </c>
    </row>
    <row r="268">
      <c r="A268" s="3" t="inlineStr">
        <is>
          <t>Layer removed</t>
        </is>
      </c>
      <c r="B268" s="3" t="inlineStr">
        <is>
          <t>Spearman with baseline</t>
        </is>
      </c>
      <c r="C268" s="3" t="inlineStr">
        <is>
          <t>Units whose rank changed</t>
        </is>
      </c>
      <c r="D268" s="3" t="inlineStr">
        <is>
          <t>Block row</t>
        </is>
      </c>
    </row>
    <row r="269">
      <c r="A269" t="inlineStr">
        <is>
          <t>C</t>
        </is>
      </c>
      <c r="B269">
        <f>$B$288</f>
        <v/>
      </c>
      <c r="C269">
        <f>$B$289</f>
        <v/>
      </c>
      <c r="D269" t="n">
        <v>276</v>
      </c>
    </row>
    <row r="270">
      <c r="A270" t="inlineStr">
        <is>
          <t>L1</t>
        </is>
      </c>
      <c r="B270">
        <f>$B$303</f>
        <v/>
      </c>
      <c r="C270">
        <f>$B$304</f>
        <v/>
      </c>
      <c r="D270" t="n">
        <v>291</v>
      </c>
    </row>
    <row r="271">
      <c r="A271" t="inlineStr">
        <is>
          <t>L2</t>
        </is>
      </c>
      <c r="B271">
        <f>$B$318</f>
        <v/>
      </c>
      <c r="C271">
        <f>$B$319</f>
        <v/>
      </c>
      <c r="D271" t="n">
        <v>306</v>
      </c>
    </row>
    <row r="272">
      <c r="A272" t="inlineStr">
        <is>
          <t>L3</t>
        </is>
      </c>
      <c r="B272">
        <f>$B$333</f>
        <v/>
      </c>
      <c r="C272">
        <f>$B$334</f>
        <v/>
      </c>
      <c r="D272" t="n">
        <v>321</v>
      </c>
    </row>
    <row r="273">
      <c r="A273" t="inlineStr">
        <is>
          <t>L4</t>
        </is>
      </c>
      <c r="B273">
        <f>$B$348</f>
        <v/>
      </c>
      <c r="C273">
        <f>$B$349</f>
        <v/>
      </c>
      <c r="D273" t="n">
        <v>336</v>
      </c>
    </row>
    <row r="276">
      <c r="A276" s="3" t="inlineStr">
        <is>
          <t>Without C</t>
        </is>
      </c>
    </row>
    <row r="277">
      <c r="A277" s="3" t="inlineStr">
        <is>
          <t>Unit</t>
        </is>
      </c>
      <c r="B277" s="3" t="inlineStr">
        <is>
          <t>L1</t>
        </is>
      </c>
      <c r="C277" s="3" t="inlineStr">
        <is>
          <t>L2</t>
        </is>
      </c>
      <c r="D277" s="3" t="inlineStr">
        <is>
          <t>L3</t>
        </is>
      </c>
      <c r="E277" s="3" t="inlineStr">
        <is>
          <t>L4</t>
        </is>
      </c>
      <c r="F277" s="3" t="inlineStr">
        <is>
          <t>ADMI_base</t>
        </is>
      </c>
      <c r="G277" s="3" t="inlineStr">
        <is>
          <t>DM_min</t>
        </is>
      </c>
      <c r="H277" s="3" t="inlineStr">
        <is>
          <t>Penalty</t>
        </is>
      </c>
      <c r="I277" s="3" t="inlineStr">
        <is>
          <t>ADMI</t>
        </is>
      </c>
      <c r="J277" s="3" t="inlineStr">
        <is>
          <t>Rank</t>
        </is>
      </c>
    </row>
    <row r="278">
      <c r="A278" t="inlineStr">
        <is>
          <t>PL</t>
        </is>
      </c>
      <c r="B278">
        <f>Processing_index!$T$6</f>
        <v/>
      </c>
      <c r="C278">
        <f>Processing_index!$U$6</f>
        <v/>
      </c>
      <c r="D278">
        <f>Processing_index!$V$6</f>
        <v/>
      </c>
      <c r="E278">
        <f>Processing_index!$W$6</f>
        <v/>
      </c>
      <c r="F278">
        <f>AVERAGE(B278:E278)</f>
        <v/>
      </c>
      <c r="G278">
        <f>MIN(B278:E278)</f>
        <v/>
      </c>
      <c r="H278">
        <f>1-alpha*MAX(0,delta-G278)</f>
        <v/>
      </c>
      <c r="I278">
        <f>F278*H278</f>
        <v/>
      </c>
      <c r="J278">
        <f>1+COUNTIF($I$278:$I$287,"&gt;"&amp;I278)</f>
        <v/>
      </c>
    </row>
    <row r="279">
      <c r="A279" t="inlineStr">
        <is>
          <t>HU</t>
        </is>
      </c>
      <c r="B279">
        <f>Processing_index!$T$7</f>
        <v/>
      </c>
      <c r="C279">
        <f>Processing_index!$U$7</f>
        <v/>
      </c>
      <c r="D279">
        <f>Processing_index!$V$7</f>
        <v/>
      </c>
      <c r="E279">
        <f>Processing_index!$W$7</f>
        <v/>
      </c>
      <c r="F279">
        <f>AVERAGE(B279:E279)</f>
        <v/>
      </c>
      <c r="G279">
        <f>MIN(B279:E279)</f>
        <v/>
      </c>
      <c r="H279">
        <f>1-alpha*MAX(0,delta-G279)</f>
        <v/>
      </c>
      <c r="I279">
        <f>F279*H279</f>
        <v/>
      </c>
      <c r="J279">
        <f>1+COUNTIF($I$278:$I$287,"&gt;"&amp;I279)</f>
        <v/>
      </c>
    </row>
    <row r="280">
      <c r="A280" t="inlineStr">
        <is>
          <t>RO</t>
        </is>
      </c>
      <c r="B280">
        <f>Processing_index!$T$8</f>
        <v/>
      </c>
      <c r="C280">
        <f>Processing_index!$U$8</f>
        <v/>
      </c>
      <c r="D280">
        <f>Processing_index!$V$8</f>
        <v/>
      </c>
      <c r="E280">
        <f>Processing_index!$W$8</f>
        <v/>
      </c>
      <c r="F280">
        <f>AVERAGE(B280:E280)</f>
        <v/>
      </c>
      <c r="G280">
        <f>MIN(B280:E280)</f>
        <v/>
      </c>
      <c r="H280">
        <f>1-alpha*MAX(0,delta-G280)</f>
        <v/>
      </c>
      <c r="I280">
        <f>F280*H280</f>
        <v/>
      </c>
      <c r="J280">
        <f>1+COUNTIF($I$278:$I$287,"&gt;"&amp;I280)</f>
        <v/>
      </c>
    </row>
    <row r="281">
      <c r="A281" t="inlineStr">
        <is>
          <t>CZ</t>
        </is>
      </c>
      <c r="B281">
        <f>Processing_index!$T$9</f>
        <v/>
      </c>
      <c r="C281">
        <f>Processing_index!$U$9</f>
        <v/>
      </c>
      <c r="D281">
        <f>Processing_index!$V$9</f>
        <v/>
      </c>
      <c r="E281">
        <f>Processing_index!$W$9</f>
        <v/>
      </c>
      <c r="F281">
        <f>AVERAGE(B281:E281)</f>
        <v/>
      </c>
      <c r="G281">
        <f>MIN(B281:E281)</f>
        <v/>
      </c>
      <c r="H281">
        <f>1-alpha*MAX(0,delta-G281)</f>
        <v/>
      </c>
      <c r="I281">
        <f>F281*H281</f>
        <v/>
      </c>
      <c r="J281">
        <f>1+COUNTIF($I$278:$I$287,"&gt;"&amp;I281)</f>
        <v/>
      </c>
    </row>
    <row r="282">
      <c r="A282" t="inlineStr">
        <is>
          <t>SK</t>
        </is>
      </c>
      <c r="B282">
        <f>Processing_index!$T$10</f>
        <v/>
      </c>
      <c r="C282">
        <f>Processing_index!$U$10</f>
        <v/>
      </c>
      <c r="D282">
        <f>Processing_index!$V$10</f>
        <v/>
      </c>
      <c r="E282">
        <f>Processing_index!$W$10</f>
        <v/>
      </c>
      <c r="F282">
        <f>AVERAGE(B282:E282)</f>
        <v/>
      </c>
      <c r="G282">
        <f>MIN(B282:E282)</f>
        <v/>
      </c>
      <c r="H282">
        <f>1-alpha*MAX(0,delta-G282)</f>
        <v/>
      </c>
      <c r="I282">
        <f>F282*H282</f>
        <v/>
      </c>
      <c r="J282">
        <f>1+COUNTIF($I$278:$I$287,"&gt;"&amp;I282)</f>
        <v/>
      </c>
    </row>
    <row r="283">
      <c r="A283" t="inlineStr">
        <is>
          <t>LT</t>
        </is>
      </c>
      <c r="B283">
        <f>Processing_index!$T$11</f>
        <v/>
      </c>
      <c r="C283">
        <f>Processing_index!$U$11</f>
        <v/>
      </c>
      <c r="D283">
        <f>Processing_index!$V$11</f>
        <v/>
      </c>
      <c r="E283">
        <f>Processing_index!$W$11</f>
        <v/>
      </c>
      <c r="F283">
        <f>AVERAGE(B283:E283)</f>
        <v/>
      </c>
      <c r="G283">
        <f>MIN(B283:E283)</f>
        <v/>
      </c>
      <c r="H283">
        <f>1-alpha*MAX(0,delta-G283)</f>
        <v/>
      </c>
      <c r="I283">
        <f>F283*H283</f>
        <v/>
      </c>
      <c r="J283">
        <f>1+COUNTIF($I$278:$I$287,"&gt;"&amp;I283)</f>
        <v/>
      </c>
    </row>
    <row r="284">
      <c r="A284" t="inlineStr">
        <is>
          <t>LV</t>
        </is>
      </c>
      <c r="B284">
        <f>Processing_index!$T$12</f>
        <v/>
      </c>
      <c r="C284">
        <f>Processing_index!$U$12</f>
        <v/>
      </c>
      <c r="D284">
        <f>Processing_index!$V$12</f>
        <v/>
      </c>
      <c r="E284">
        <f>Processing_index!$W$12</f>
        <v/>
      </c>
      <c r="F284">
        <f>AVERAGE(B284:E284)</f>
        <v/>
      </c>
      <c r="G284">
        <f>MIN(B284:E284)</f>
        <v/>
      </c>
      <c r="H284">
        <f>1-alpha*MAX(0,delta-G284)</f>
        <v/>
      </c>
      <c r="I284">
        <f>F284*H284</f>
        <v/>
      </c>
      <c r="J284">
        <f>1+COUNTIF($I$278:$I$287,"&gt;"&amp;I284)</f>
        <v/>
      </c>
    </row>
    <row r="285">
      <c r="A285" t="inlineStr">
        <is>
          <t>EE</t>
        </is>
      </c>
      <c r="B285">
        <f>Processing_index!$T$13</f>
        <v/>
      </c>
      <c r="C285">
        <f>Processing_index!$U$13</f>
        <v/>
      </c>
      <c r="D285">
        <f>Processing_index!$V$13</f>
        <v/>
      </c>
      <c r="E285">
        <f>Processing_index!$W$13</f>
        <v/>
      </c>
      <c r="F285">
        <f>AVERAGE(B285:E285)</f>
        <v/>
      </c>
      <c r="G285">
        <f>MIN(B285:E285)</f>
        <v/>
      </c>
      <c r="H285">
        <f>1-alpha*MAX(0,delta-G285)</f>
        <v/>
      </c>
      <c r="I285">
        <f>F285*H285</f>
        <v/>
      </c>
      <c r="J285">
        <f>1+COUNTIF($I$278:$I$287,"&gt;"&amp;I285)</f>
        <v/>
      </c>
    </row>
    <row r="286">
      <c r="A286" t="inlineStr">
        <is>
          <t>BG</t>
        </is>
      </c>
      <c r="B286">
        <f>Processing_index!$T$14</f>
        <v/>
      </c>
      <c r="C286">
        <f>Processing_index!$U$14</f>
        <v/>
      </c>
      <c r="D286">
        <f>Processing_index!$V$14</f>
        <v/>
      </c>
      <c r="E286">
        <f>Processing_index!$W$14</f>
        <v/>
      </c>
      <c r="F286">
        <f>AVERAGE(B286:E286)</f>
        <v/>
      </c>
      <c r="G286">
        <f>MIN(B286:E286)</f>
        <v/>
      </c>
      <c r="H286">
        <f>1-alpha*MAX(0,delta-G286)</f>
        <v/>
      </c>
      <c r="I286">
        <f>F286*H286</f>
        <v/>
      </c>
      <c r="J286">
        <f>1+COUNTIF($I$278:$I$287,"&gt;"&amp;I286)</f>
        <v/>
      </c>
    </row>
    <row r="287">
      <c r="A287" t="inlineStr">
        <is>
          <t>UA</t>
        </is>
      </c>
      <c r="B287">
        <f>Processing_index!$T$15</f>
        <v/>
      </c>
      <c r="C287">
        <f>Processing_index!$U$15</f>
        <v/>
      </c>
      <c r="D287">
        <f>Processing_index!$V$15</f>
        <v/>
      </c>
      <c r="E287">
        <f>Processing_index!$W$15</f>
        <v/>
      </c>
      <c r="F287">
        <f>AVERAGE(B287:E287)</f>
        <v/>
      </c>
      <c r="G287">
        <f>MIN(B287:E287)</f>
        <v/>
      </c>
      <c r="H287">
        <f>1-alpha*MAX(0,delta-G287)</f>
        <v/>
      </c>
      <c r="I287">
        <f>F287*H287</f>
        <v/>
      </c>
      <c r="J287">
        <f>1+COUNTIF($I$278:$I$287,"&gt;"&amp;I287)</f>
        <v/>
      </c>
    </row>
    <row r="288">
      <c r="A288" s="3" t="inlineStr">
        <is>
          <t>Spearman with baseline</t>
        </is>
      </c>
      <c r="B288">
        <f>1-6*SUMPRODUCT((Processing_index!$AF$6:$AF$15-$J$278:$J$287)^2)/(10*(10^2-1))</f>
        <v/>
      </c>
    </row>
    <row r="289">
      <c r="A289" s="3" t="inlineStr">
        <is>
          <t>Units whose rank changed</t>
        </is>
      </c>
      <c r="B289">
        <f>SUMPRODUCT(--(Processing_index!$AF$6:$AF$15&lt;&gt;$J$278:$J$287))</f>
        <v/>
      </c>
    </row>
    <row r="291">
      <c r="A291" s="3" t="inlineStr">
        <is>
          <t>Without L1</t>
        </is>
      </c>
    </row>
    <row r="292">
      <c r="A292" s="3" t="inlineStr">
        <is>
          <t>Unit</t>
        </is>
      </c>
      <c r="B292" s="3" t="inlineStr">
        <is>
          <t>C</t>
        </is>
      </c>
      <c r="C292" s="3" t="inlineStr">
        <is>
          <t>L2</t>
        </is>
      </c>
      <c r="D292" s="3" t="inlineStr">
        <is>
          <t>L3</t>
        </is>
      </c>
      <c r="E292" s="3" t="inlineStr">
        <is>
          <t>L4</t>
        </is>
      </c>
      <c r="F292" s="3" t="inlineStr">
        <is>
          <t>ADMI_base</t>
        </is>
      </c>
      <c r="G292" s="3" t="inlineStr">
        <is>
          <t>DM_min</t>
        </is>
      </c>
      <c r="H292" s="3" t="inlineStr">
        <is>
          <t>Penalty</t>
        </is>
      </c>
      <c r="I292" s="3" t="inlineStr">
        <is>
          <t>ADMI</t>
        </is>
      </c>
      <c r="J292" s="3" t="inlineStr">
        <is>
          <t>Rank</t>
        </is>
      </c>
    </row>
    <row r="293">
      <c r="A293" t="inlineStr">
        <is>
          <t>PL</t>
        </is>
      </c>
      <c r="B293">
        <f>Processing_index!$S$6</f>
        <v/>
      </c>
      <c r="C293">
        <f>Processing_index!$U$6</f>
        <v/>
      </c>
      <c r="D293">
        <f>Processing_index!$V$6</f>
        <v/>
      </c>
      <c r="E293">
        <f>Processing_index!$W$6</f>
        <v/>
      </c>
      <c r="F293">
        <f>AVERAGE(B293:E293)</f>
        <v/>
      </c>
      <c r="G293">
        <f>MIN(B293:E293)</f>
        <v/>
      </c>
      <c r="H293">
        <f>1-alpha*MAX(0,delta-G293)</f>
        <v/>
      </c>
      <c r="I293">
        <f>F293*H293</f>
        <v/>
      </c>
      <c r="J293">
        <f>1+COUNTIF($I$293:$I$302,"&gt;"&amp;I293)</f>
        <v/>
      </c>
    </row>
    <row r="294">
      <c r="A294" t="inlineStr">
        <is>
          <t>HU</t>
        </is>
      </c>
      <c r="B294">
        <f>Processing_index!$S$7</f>
        <v/>
      </c>
      <c r="C294">
        <f>Processing_index!$U$7</f>
        <v/>
      </c>
      <c r="D294">
        <f>Processing_index!$V$7</f>
        <v/>
      </c>
      <c r="E294">
        <f>Processing_index!$W$7</f>
        <v/>
      </c>
      <c r="F294">
        <f>AVERAGE(B294:E294)</f>
        <v/>
      </c>
      <c r="G294">
        <f>MIN(B294:E294)</f>
        <v/>
      </c>
      <c r="H294">
        <f>1-alpha*MAX(0,delta-G294)</f>
        <v/>
      </c>
      <c r="I294">
        <f>F294*H294</f>
        <v/>
      </c>
      <c r="J294">
        <f>1+COUNTIF($I$293:$I$302,"&gt;"&amp;I294)</f>
        <v/>
      </c>
    </row>
    <row r="295">
      <c r="A295" t="inlineStr">
        <is>
          <t>RO</t>
        </is>
      </c>
      <c r="B295">
        <f>Processing_index!$S$8</f>
        <v/>
      </c>
      <c r="C295">
        <f>Processing_index!$U$8</f>
        <v/>
      </c>
      <c r="D295">
        <f>Processing_index!$V$8</f>
        <v/>
      </c>
      <c r="E295">
        <f>Processing_index!$W$8</f>
        <v/>
      </c>
      <c r="F295">
        <f>AVERAGE(B295:E295)</f>
        <v/>
      </c>
      <c r="G295">
        <f>MIN(B295:E295)</f>
        <v/>
      </c>
      <c r="H295">
        <f>1-alpha*MAX(0,delta-G295)</f>
        <v/>
      </c>
      <c r="I295">
        <f>F295*H295</f>
        <v/>
      </c>
      <c r="J295">
        <f>1+COUNTIF($I$293:$I$302,"&gt;"&amp;I295)</f>
        <v/>
      </c>
    </row>
    <row r="296">
      <c r="A296" t="inlineStr">
        <is>
          <t>CZ</t>
        </is>
      </c>
      <c r="B296">
        <f>Processing_index!$S$9</f>
        <v/>
      </c>
      <c r="C296">
        <f>Processing_index!$U$9</f>
        <v/>
      </c>
      <c r="D296">
        <f>Processing_index!$V$9</f>
        <v/>
      </c>
      <c r="E296">
        <f>Processing_index!$W$9</f>
        <v/>
      </c>
      <c r="F296">
        <f>AVERAGE(B296:E296)</f>
        <v/>
      </c>
      <c r="G296">
        <f>MIN(B296:E296)</f>
        <v/>
      </c>
      <c r="H296">
        <f>1-alpha*MAX(0,delta-G296)</f>
        <v/>
      </c>
      <c r="I296">
        <f>F296*H296</f>
        <v/>
      </c>
      <c r="J296">
        <f>1+COUNTIF($I$293:$I$302,"&gt;"&amp;I296)</f>
        <v/>
      </c>
    </row>
    <row r="297">
      <c r="A297" t="inlineStr">
        <is>
          <t>SK</t>
        </is>
      </c>
      <c r="B297">
        <f>Processing_index!$S$10</f>
        <v/>
      </c>
      <c r="C297">
        <f>Processing_index!$U$10</f>
        <v/>
      </c>
      <c r="D297">
        <f>Processing_index!$V$10</f>
        <v/>
      </c>
      <c r="E297">
        <f>Processing_index!$W$10</f>
        <v/>
      </c>
      <c r="F297">
        <f>AVERAGE(B297:E297)</f>
        <v/>
      </c>
      <c r="G297">
        <f>MIN(B297:E297)</f>
        <v/>
      </c>
      <c r="H297">
        <f>1-alpha*MAX(0,delta-G297)</f>
        <v/>
      </c>
      <c r="I297">
        <f>F297*H297</f>
        <v/>
      </c>
      <c r="J297">
        <f>1+COUNTIF($I$293:$I$302,"&gt;"&amp;I297)</f>
        <v/>
      </c>
    </row>
    <row r="298">
      <c r="A298" t="inlineStr">
        <is>
          <t>LT</t>
        </is>
      </c>
      <c r="B298">
        <f>Processing_index!$S$11</f>
        <v/>
      </c>
      <c r="C298">
        <f>Processing_index!$U$11</f>
        <v/>
      </c>
      <c r="D298">
        <f>Processing_index!$V$11</f>
        <v/>
      </c>
      <c r="E298">
        <f>Processing_index!$W$11</f>
        <v/>
      </c>
      <c r="F298">
        <f>AVERAGE(B298:E298)</f>
        <v/>
      </c>
      <c r="G298">
        <f>MIN(B298:E298)</f>
        <v/>
      </c>
      <c r="H298">
        <f>1-alpha*MAX(0,delta-G298)</f>
        <v/>
      </c>
      <c r="I298">
        <f>F298*H298</f>
        <v/>
      </c>
      <c r="J298">
        <f>1+COUNTIF($I$293:$I$302,"&gt;"&amp;I298)</f>
        <v/>
      </c>
    </row>
    <row r="299">
      <c r="A299" t="inlineStr">
        <is>
          <t>LV</t>
        </is>
      </c>
      <c r="B299">
        <f>Processing_index!$S$12</f>
        <v/>
      </c>
      <c r="C299">
        <f>Processing_index!$U$12</f>
        <v/>
      </c>
      <c r="D299">
        <f>Processing_index!$V$12</f>
        <v/>
      </c>
      <c r="E299">
        <f>Processing_index!$W$12</f>
        <v/>
      </c>
      <c r="F299">
        <f>AVERAGE(B299:E299)</f>
        <v/>
      </c>
      <c r="G299">
        <f>MIN(B299:E299)</f>
        <v/>
      </c>
      <c r="H299">
        <f>1-alpha*MAX(0,delta-G299)</f>
        <v/>
      </c>
      <c r="I299">
        <f>F299*H299</f>
        <v/>
      </c>
      <c r="J299">
        <f>1+COUNTIF($I$293:$I$302,"&gt;"&amp;I299)</f>
        <v/>
      </c>
    </row>
    <row r="300">
      <c r="A300" t="inlineStr">
        <is>
          <t>EE</t>
        </is>
      </c>
      <c r="B300">
        <f>Processing_index!$S$13</f>
        <v/>
      </c>
      <c r="C300">
        <f>Processing_index!$U$13</f>
        <v/>
      </c>
      <c r="D300">
        <f>Processing_index!$V$13</f>
        <v/>
      </c>
      <c r="E300">
        <f>Processing_index!$W$13</f>
        <v/>
      </c>
      <c r="F300">
        <f>AVERAGE(B300:E300)</f>
        <v/>
      </c>
      <c r="G300">
        <f>MIN(B300:E300)</f>
        <v/>
      </c>
      <c r="H300">
        <f>1-alpha*MAX(0,delta-G300)</f>
        <v/>
      </c>
      <c r="I300">
        <f>F300*H300</f>
        <v/>
      </c>
      <c r="J300">
        <f>1+COUNTIF($I$293:$I$302,"&gt;"&amp;I300)</f>
        <v/>
      </c>
    </row>
    <row r="301">
      <c r="A301" t="inlineStr">
        <is>
          <t>BG</t>
        </is>
      </c>
      <c r="B301">
        <f>Processing_index!$S$14</f>
        <v/>
      </c>
      <c r="C301">
        <f>Processing_index!$U$14</f>
        <v/>
      </c>
      <c r="D301">
        <f>Processing_index!$V$14</f>
        <v/>
      </c>
      <c r="E301">
        <f>Processing_index!$W$14</f>
        <v/>
      </c>
      <c r="F301">
        <f>AVERAGE(B301:E301)</f>
        <v/>
      </c>
      <c r="G301">
        <f>MIN(B301:E301)</f>
        <v/>
      </c>
      <c r="H301">
        <f>1-alpha*MAX(0,delta-G301)</f>
        <v/>
      </c>
      <c r="I301">
        <f>F301*H301</f>
        <v/>
      </c>
      <c r="J301">
        <f>1+COUNTIF($I$293:$I$302,"&gt;"&amp;I301)</f>
        <v/>
      </c>
    </row>
    <row r="302">
      <c r="A302" t="inlineStr">
        <is>
          <t>UA</t>
        </is>
      </c>
      <c r="B302">
        <f>Processing_index!$S$15</f>
        <v/>
      </c>
      <c r="C302">
        <f>Processing_index!$U$15</f>
        <v/>
      </c>
      <c r="D302">
        <f>Processing_index!$V$15</f>
        <v/>
      </c>
      <c r="E302">
        <f>Processing_index!$W$15</f>
        <v/>
      </c>
      <c r="F302">
        <f>AVERAGE(B302:E302)</f>
        <v/>
      </c>
      <c r="G302">
        <f>MIN(B302:E302)</f>
        <v/>
      </c>
      <c r="H302">
        <f>1-alpha*MAX(0,delta-G302)</f>
        <v/>
      </c>
      <c r="I302">
        <f>F302*H302</f>
        <v/>
      </c>
      <c r="J302">
        <f>1+COUNTIF($I$293:$I$302,"&gt;"&amp;I302)</f>
        <v/>
      </c>
    </row>
    <row r="303">
      <c r="A303" s="3" t="inlineStr">
        <is>
          <t>Spearman with baseline</t>
        </is>
      </c>
      <c r="B303">
        <f>1-6*SUMPRODUCT((Processing_index!$AF$6:$AF$15-$J$293:$J$302)^2)/(10*(10^2-1))</f>
        <v/>
      </c>
    </row>
    <row r="304">
      <c r="A304" s="3" t="inlineStr">
        <is>
          <t>Units whose rank changed</t>
        </is>
      </c>
      <c r="B304">
        <f>SUMPRODUCT(--(Processing_index!$AF$6:$AF$15&lt;&gt;$J$293:$J$302))</f>
        <v/>
      </c>
    </row>
    <row r="306">
      <c r="A306" s="3" t="inlineStr">
        <is>
          <t>Without L2</t>
        </is>
      </c>
    </row>
    <row r="307">
      <c r="A307" s="3" t="inlineStr">
        <is>
          <t>Unit</t>
        </is>
      </c>
      <c r="B307" s="3" t="inlineStr">
        <is>
          <t>C</t>
        </is>
      </c>
      <c r="C307" s="3" t="inlineStr">
        <is>
          <t>L1</t>
        </is>
      </c>
      <c r="D307" s="3" t="inlineStr">
        <is>
          <t>L3</t>
        </is>
      </c>
      <c r="E307" s="3" t="inlineStr">
        <is>
          <t>L4</t>
        </is>
      </c>
      <c r="F307" s="3" t="inlineStr">
        <is>
          <t>ADMI_base</t>
        </is>
      </c>
      <c r="G307" s="3" t="inlineStr">
        <is>
          <t>DM_min</t>
        </is>
      </c>
      <c r="H307" s="3" t="inlineStr">
        <is>
          <t>Penalty</t>
        </is>
      </c>
      <c r="I307" s="3" t="inlineStr">
        <is>
          <t>ADMI</t>
        </is>
      </c>
      <c r="J307" s="3" t="inlineStr">
        <is>
          <t>Rank</t>
        </is>
      </c>
    </row>
    <row r="308">
      <c r="A308" t="inlineStr">
        <is>
          <t>PL</t>
        </is>
      </c>
      <c r="B308">
        <f>Processing_index!$S$6</f>
        <v/>
      </c>
      <c r="C308">
        <f>Processing_index!$T$6</f>
        <v/>
      </c>
      <c r="D308">
        <f>Processing_index!$V$6</f>
        <v/>
      </c>
      <c r="E308">
        <f>Processing_index!$W$6</f>
        <v/>
      </c>
      <c r="F308">
        <f>AVERAGE(B308:E308)</f>
        <v/>
      </c>
      <c r="G308">
        <f>MIN(B308:E308)</f>
        <v/>
      </c>
      <c r="H308">
        <f>1-alpha*MAX(0,delta-G308)</f>
        <v/>
      </c>
      <c r="I308">
        <f>F308*H308</f>
        <v/>
      </c>
      <c r="J308">
        <f>1+COUNTIF($I$308:$I$317,"&gt;"&amp;I308)</f>
        <v/>
      </c>
    </row>
    <row r="309">
      <c r="A309" t="inlineStr">
        <is>
          <t>HU</t>
        </is>
      </c>
      <c r="B309">
        <f>Processing_index!$S$7</f>
        <v/>
      </c>
      <c r="C309">
        <f>Processing_index!$T$7</f>
        <v/>
      </c>
      <c r="D309">
        <f>Processing_index!$V$7</f>
        <v/>
      </c>
      <c r="E309">
        <f>Processing_index!$W$7</f>
        <v/>
      </c>
      <c r="F309">
        <f>AVERAGE(B309:E309)</f>
        <v/>
      </c>
      <c r="G309">
        <f>MIN(B309:E309)</f>
        <v/>
      </c>
      <c r="H309">
        <f>1-alpha*MAX(0,delta-G309)</f>
        <v/>
      </c>
      <c r="I309">
        <f>F309*H309</f>
        <v/>
      </c>
      <c r="J309">
        <f>1+COUNTIF($I$308:$I$317,"&gt;"&amp;I309)</f>
        <v/>
      </c>
    </row>
    <row r="310">
      <c r="A310" t="inlineStr">
        <is>
          <t>RO</t>
        </is>
      </c>
      <c r="B310">
        <f>Processing_index!$S$8</f>
        <v/>
      </c>
      <c r="C310">
        <f>Processing_index!$T$8</f>
        <v/>
      </c>
      <c r="D310">
        <f>Processing_index!$V$8</f>
        <v/>
      </c>
      <c r="E310">
        <f>Processing_index!$W$8</f>
        <v/>
      </c>
      <c r="F310">
        <f>AVERAGE(B310:E310)</f>
        <v/>
      </c>
      <c r="G310">
        <f>MIN(B310:E310)</f>
        <v/>
      </c>
      <c r="H310">
        <f>1-alpha*MAX(0,delta-G310)</f>
        <v/>
      </c>
      <c r="I310">
        <f>F310*H310</f>
        <v/>
      </c>
      <c r="J310">
        <f>1+COUNTIF($I$308:$I$317,"&gt;"&amp;I310)</f>
        <v/>
      </c>
    </row>
    <row r="311">
      <c r="A311" t="inlineStr">
        <is>
          <t>CZ</t>
        </is>
      </c>
      <c r="B311">
        <f>Processing_index!$S$9</f>
        <v/>
      </c>
      <c r="C311">
        <f>Processing_index!$T$9</f>
        <v/>
      </c>
      <c r="D311">
        <f>Processing_index!$V$9</f>
        <v/>
      </c>
      <c r="E311">
        <f>Processing_index!$W$9</f>
        <v/>
      </c>
      <c r="F311">
        <f>AVERAGE(B311:E311)</f>
        <v/>
      </c>
      <c r="G311">
        <f>MIN(B311:E311)</f>
        <v/>
      </c>
      <c r="H311">
        <f>1-alpha*MAX(0,delta-G311)</f>
        <v/>
      </c>
      <c r="I311">
        <f>F311*H311</f>
        <v/>
      </c>
      <c r="J311">
        <f>1+COUNTIF($I$308:$I$317,"&gt;"&amp;I311)</f>
        <v/>
      </c>
    </row>
    <row r="312">
      <c r="A312" t="inlineStr">
        <is>
          <t>SK</t>
        </is>
      </c>
      <c r="B312">
        <f>Processing_index!$S$10</f>
        <v/>
      </c>
      <c r="C312">
        <f>Processing_index!$T$10</f>
        <v/>
      </c>
      <c r="D312">
        <f>Processing_index!$V$10</f>
        <v/>
      </c>
      <c r="E312">
        <f>Processing_index!$W$10</f>
        <v/>
      </c>
      <c r="F312">
        <f>AVERAGE(B312:E312)</f>
        <v/>
      </c>
      <c r="G312">
        <f>MIN(B312:E312)</f>
        <v/>
      </c>
      <c r="H312">
        <f>1-alpha*MAX(0,delta-G312)</f>
        <v/>
      </c>
      <c r="I312">
        <f>F312*H312</f>
        <v/>
      </c>
      <c r="J312">
        <f>1+COUNTIF($I$308:$I$317,"&gt;"&amp;I312)</f>
        <v/>
      </c>
    </row>
    <row r="313">
      <c r="A313" t="inlineStr">
        <is>
          <t>LT</t>
        </is>
      </c>
      <c r="B313">
        <f>Processing_index!$S$11</f>
        <v/>
      </c>
      <c r="C313">
        <f>Processing_index!$T$11</f>
        <v/>
      </c>
      <c r="D313">
        <f>Processing_index!$V$11</f>
        <v/>
      </c>
      <c r="E313">
        <f>Processing_index!$W$11</f>
        <v/>
      </c>
      <c r="F313">
        <f>AVERAGE(B313:E313)</f>
        <v/>
      </c>
      <c r="G313">
        <f>MIN(B313:E313)</f>
        <v/>
      </c>
      <c r="H313">
        <f>1-alpha*MAX(0,delta-G313)</f>
        <v/>
      </c>
      <c r="I313">
        <f>F313*H313</f>
        <v/>
      </c>
      <c r="J313">
        <f>1+COUNTIF($I$308:$I$317,"&gt;"&amp;I313)</f>
        <v/>
      </c>
    </row>
    <row r="314">
      <c r="A314" t="inlineStr">
        <is>
          <t>LV</t>
        </is>
      </c>
      <c r="B314">
        <f>Processing_index!$S$12</f>
        <v/>
      </c>
      <c r="C314">
        <f>Processing_index!$T$12</f>
        <v/>
      </c>
      <c r="D314">
        <f>Processing_index!$V$12</f>
        <v/>
      </c>
      <c r="E314">
        <f>Processing_index!$W$12</f>
        <v/>
      </c>
      <c r="F314">
        <f>AVERAGE(B314:E314)</f>
        <v/>
      </c>
      <c r="G314">
        <f>MIN(B314:E314)</f>
        <v/>
      </c>
      <c r="H314">
        <f>1-alpha*MAX(0,delta-G314)</f>
        <v/>
      </c>
      <c r="I314">
        <f>F314*H314</f>
        <v/>
      </c>
      <c r="J314">
        <f>1+COUNTIF($I$308:$I$317,"&gt;"&amp;I314)</f>
        <v/>
      </c>
    </row>
    <row r="315">
      <c r="A315" t="inlineStr">
        <is>
          <t>EE</t>
        </is>
      </c>
      <c r="B315">
        <f>Processing_index!$S$13</f>
        <v/>
      </c>
      <c r="C315">
        <f>Processing_index!$T$13</f>
        <v/>
      </c>
      <c r="D315">
        <f>Processing_index!$V$13</f>
        <v/>
      </c>
      <c r="E315">
        <f>Processing_index!$W$13</f>
        <v/>
      </c>
      <c r="F315">
        <f>AVERAGE(B315:E315)</f>
        <v/>
      </c>
      <c r="G315">
        <f>MIN(B315:E315)</f>
        <v/>
      </c>
      <c r="H315">
        <f>1-alpha*MAX(0,delta-G315)</f>
        <v/>
      </c>
      <c r="I315">
        <f>F315*H315</f>
        <v/>
      </c>
      <c r="J315">
        <f>1+COUNTIF($I$308:$I$317,"&gt;"&amp;I315)</f>
        <v/>
      </c>
    </row>
    <row r="316">
      <c r="A316" t="inlineStr">
        <is>
          <t>BG</t>
        </is>
      </c>
      <c r="B316">
        <f>Processing_index!$S$14</f>
        <v/>
      </c>
      <c r="C316">
        <f>Processing_index!$T$14</f>
        <v/>
      </c>
      <c r="D316">
        <f>Processing_index!$V$14</f>
        <v/>
      </c>
      <c r="E316">
        <f>Processing_index!$W$14</f>
        <v/>
      </c>
      <c r="F316">
        <f>AVERAGE(B316:E316)</f>
        <v/>
      </c>
      <c r="G316">
        <f>MIN(B316:E316)</f>
        <v/>
      </c>
      <c r="H316">
        <f>1-alpha*MAX(0,delta-G316)</f>
        <v/>
      </c>
      <c r="I316">
        <f>F316*H316</f>
        <v/>
      </c>
      <c r="J316">
        <f>1+COUNTIF($I$308:$I$317,"&gt;"&amp;I316)</f>
        <v/>
      </c>
    </row>
    <row r="317">
      <c r="A317" t="inlineStr">
        <is>
          <t>UA</t>
        </is>
      </c>
      <c r="B317">
        <f>Processing_index!$S$15</f>
        <v/>
      </c>
      <c r="C317">
        <f>Processing_index!$T$15</f>
        <v/>
      </c>
      <c r="D317">
        <f>Processing_index!$V$15</f>
        <v/>
      </c>
      <c r="E317">
        <f>Processing_index!$W$15</f>
        <v/>
      </c>
      <c r="F317">
        <f>AVERAGE(B317:E317)</f>
        <v/>
      </c>
      <c r="G317">
        <f>MIN(B317:E317)</f>
        <v/>
      </c>
      <c r="H317">
        <f>1-alpha*MAX(0,delta-G317)</f>
        <v/>
      </c>
      <c r="I317">
        <f>F317*H317</f>
        <v/>
      </c>
      <c r="J317">
        <f>1+COUNTIF($I$308:$I$317,"&gt;"&amp;I317)</f>
        <v/>
      </c>
    </row>
    <row r="318">
      <c r="A318" s="3" t="inlineStr">
        <is>
          <t>Spearman with baseline</t>
        </is>
      </c>
      <c r="B318">
        <f>1-6*SUMPRODUCT((Processing_index!$AF$6:$AF$15-$J$308:$J$317)^2)/(10*(10^2-1))</f>
        <v/>
      </c>
    </row>
    <row r="319">
      <c r="A319" s="3" t="inlineStr">
        <is>
          <t>Units whose rank changed</t>
        </is>
      </c>
      <c r="B319">
        <f>SUMPRODUCT(--(Processing_index!$AF$6:$AF$15&lt;&gt;$J$308:$J$317))</f>
        <v/>
      </c>
    </row>
    <row r="321">
      <c r="A321" s="3" t="inlineStr">
        <is>
          <t>Without L3</t>
        </is>
      </c>
    </row>
    <row r="322">
      <c r="A322" s="3" t="inlineStr">
        <is>
          <t>Unit</t>
        </is>
      </c>
      <c r="B322" s="3" t="inlineStr">
        <is>
          <t>C</t>
        </is>
      </c>
      <c r="C322" s="3" t="inlineStr">
        <is>
          <t>L1</t>
        </is>
      </c>
      <c r="D322" s="3" t="inlineStr">
        <is>
          <t>L2</t>
        </is>
      </c>
      <c r="E322" s="3" t="inlineStr">
        <is>
          <t>L4</t>
        </is>
      </c>
      <c r="F322" s="3" t="inlineStr">
        <is>
          <t>ADMI_base</t>
        </is>
      </c>
      <c r="G322" s="3" t="inlineStr">
        <is>
          <t>DM_min</t>
        </is>
      </c>
      <c r="H322" s="3" t="inlineStr">
        <is>
          <t>Penalty</t>
        </is>
      </c>
      <c r="I322" s="3" t="inlineStr">
        <is>
          <t>ADMI</t>
        </is>
      </c>
      <c r="J322" s="3" t="inlineStr">
        <is>
          <t>Rank</t>
        </is>
      </c>
    </row>
    <row r="323">
      <c r="A323" t="inlineStr">
        <is>
          <t>PL</t>
        </is>
      </c>
      <c r="B323">
        <f>Processing_index!$S$6</f>
        <v/>
      </c>
      <c r="C323">
        <f>Processing_index!$T$6</f>
        <v/>
      </c>
      <c r="D323">
        <f>Processing_index!$U$6</f>
        <v/>
      </c>
      <c r="E323">
        <f>Processing_index!$W$6</f>
        <v/>
      </c>
      <c r="F323">
        <f>AVERAGE(B323:E323)</f>
        <v/>
      </c>
      <c r="G323">
        <f>MIN(B323:E323)</f>
        <v/>
      </c>
      <c r="H323">
        <f>1-alpha*MAX(0,delta-G323)</f>
        <v/>
      </c>
      <c r="I323">
        <f>F323*H323</f>
        <v/>
      </c>
      <c r="J323">
        <f>1+COUNTIF($I$323:$I$332,"&gt;"&amp;I323)</f>
        <v/>
      </c>
    </row>
    <row r="324">
      <c r="A324" t="inlineStr">
        <is>
          <t>HU</t>
        </is>
      </c>
      <c r="B324">
        <f>Processing_index!$S$7</f>
        <v/>
      </c>
      <c r="C324">
        <f>Processing_index!$T$7</f>
        <v/>
      </c>
      <c r="D324">
        <f>Processing_index!$U$7</f>
        <v/>
      </c>
      <c r="E324">
        <f>Processing_index!$W$7</f>
        <v/>
      </c>
      <c r="F324">
        <f>AVERAGE(B324:E324)</f>
        <v/>
      </c>
      <c r="G324">
        <f>MIN(B324:E324)</f>
        <v/>
      </c>
      <c r="H324">
        <f>1-alpha*MAX(0,delta-G324)</f>
        <v/>
      </c>
      <c r="I324">
        <f>F324*H324</f>
        <v/>
      </c>
      <c r="J324">
        <f>1+COUNTIF($I$323:$I$332,"&gt;"&amp;I324)</f>
        <v/>
      </c>
    </row>
    <row r="325">
      <c r="A325" t="inlineStr">
        <is>
          <t>RO</t>
        </is>
      </c>
      <c r="B325">
        <f>Processing_index!$S$8</f>
        <v/>
      </c>
      <c r="C325">
        <f>Processing_index!$T$8</f>
        <v/>
      </c>
      <c r="D325">
        <f>Processing_index!$U$8</f>
        <v/>
      </c>
      <c r="E325">
        <f>Processing_index!$W$8</f>
        <v/>
      </c>
      <c r="F325">
        <f>AVERAGE(B325:E325)</f>
        <v/>
      </c>
      <c r="G325">
        <f>MIN(B325:E325)</f>
        <v/>
      </c>
      <c r="H325">
        <f>1-alpha*MAX(0,delta-G325)</f>
        <v/>
      </c>
      <c r="I325">
        <f>F325*H325</f>
        <v/>
      </c>
      <c r="J325">
        <f>1+COUNTIF($I$323:$I$332,"&gt;"&amp;I325)</f>
        <v/>
      </c>
    </row>
    <row r="326">
      <c r="A326" t="inlineStr">
        <is>
          <t>CZ</t>
        </is>
      </c>
      <c r="B326">
        <f>Processing_index!$S$9</f>
        <v/>
      </c>
      <c r="C326">
        <f>Processing_index!$T$9</f>
        <v/>
      </c>
      <c r="D326">
        <f>Processing_index!$U$9</f>
        <v/>
      </c>
      <c r="E326">
        <f>Processing_index!$W$9</f>
        <v/>
      </c>
      <c r="F326">
        <f>AVERAGE(B326:E326)</f>
        <v/>
      </c>
      <c r="G326">
        <f>MIN(B326:E326)</f>
        <v/>
      </c>
      <c r="H326">
        <f>1-alpha*MAX(0,delta-G326)</f>
        <v/>
      </c>
      <c r="I326">
        <f>F326*H326</f>
        <v/>
      </c>
      <c r="J326">
        <f>1+COUNTIF($I$323:$I$332,"&gt;"&amp;I326)</f>
        <v/>
      </c>
    </row>
    <row r="327">
      <c r="A327" t="inlineStr">
        <is>
          <t>SK</t>
        </is>
      </c>
      <c r="B327">
        <f>Processing_index!$S$10</f>
        <v/>
      </c>
      <c r="C327">
        <f>Processing_index!$T$10</f>
        <v/>
      </c>
      <c r="D327">
        <f>Processing_index!$U$10</f>
        <v/>
      </c>
      <c r="E327">
        <f>Processing_index!$W$10</f>
        <v/>
      </c>
      <c r="F327">
        <f>AVERAGE(B327:E327)</f>
        <v/>
      </c>
      <c r="G327">
        <f>MIN(B327:E327)</f>
        <v/>
      </c>
      <c r="H327">
        <f>1-alpha*MAX(0,delta-G327)</f>
        <v/>
      </c>
      <c r="I327">
        <f>F327*H327</f>
        <v/>
      </c>
      <c r="J327">
        <f>1+COUNTIF($I$323:$I$332,"&gt;"&amp;I327)</f>
        <v/>
      </c>
    </row>
    <row r="328">
      <c r="A328" t="inlineStr">
        <is>
          <t>LT</t>
        </is>
      </c>
      <c r="B328">
        <f>Processing_index!$S$11</f>
        <v/>
      </c>
      <c r="C328">
        <f>Processing_index!$T$11</f>
        <v/>
      </c>
      <c r="D328">
        <f>Processing_index!$U$11</f>
        <v/>
      </c>
      <c r="E328">
        <f>Processing_index!$W$11</f>
        <v/>
      </c>
      <c r="F328">
        <f>AVERAGE(B328:E328)</f>
        <v/>
      </c>
      <c r="G328">
        <f>MIN(B328:E328)</f>
        <v/>
      </c>
      <c r="H328">
        <f>1-alpha*MAX(0,delta-G328)</f>
        <v/>
      </c>
      <c r="I328">
        <f>F328*H328</f>
        <v/>
      </c>
      <c r="J328">
        <f>1+COUNTIF($I$323:$I$332,"&gt;"&amp;I328)</f>
        <v/>
      </c>
    </row>
    <row r="329">
      <c r="A329" t="inlineStr">
        <is>
          <t>LV</t>
        </is>
      </c>
      <c r="B329">
        <f>Processing_index!$S$12</f>
        <v/>
      </c>
      <c r="C329">
        <f>Processing_index!$T$12</f>
        <v/>
      </c>
      <c r="D329">
        <f>Processing_index!$U$12</f>
        <v/>
      </c>
      <c r="E329">
        <f>Processing_index!$W$12</f>
        <v/>
      </c>
      <c r="F329">
        <f>AVERAGE(B329:E329)</f>
        <v/>
      </c>
      <c r="G329">
        <f>MIN(B329:E329)</f>
        <v/>
      </c>
      <c r="H329">
        <f>1-alpha*MAX(0,delta-G329)</f>
        <v/>
      </c>
      <c r="I329">
        <f>F329*H329</f>
        <v/>
      </c>
      <c r="J329">
        <f>1+COUNTIF($I$323:$I$332,"&gt;"&amp;I329)</f>
        <v/>
      </c>
    </row>
    <row r="330">
      <c r="A330" t="inlineStr">
        <is>
          <t>EE</t>
        </is>
      </c>
      <c r="B330">
        <f>Processing_index!$S$13</f>
        <v/>
      </c>
      <c r="C330">
        <f>Processing_index!$T$13</f>
        <v/>
      </c>
      <c r="D330">
        <f>Processing_index!$U$13</f>
        <v/>
      </c>
      <c r="E330">
        <f>Processing_index!$W$13</f>
        <v/>
      </c>
      <c r="F330">
        <f>AVERAGE(B330:E330)</f>
        <v/>
      </c>
      <c r="G330">
        <f>MIN(B330:E330)</f>
        <v/>
      </c>
      <c r="H330">
        <f>1-alpha*MAX(0,delta-G330)</f>
        <v/>
      </c>
      <c r="I330">
        <f>F330*H330</f>
        <v/>
      </c>
      <c r="J330">
        <f>1+COUNTIF($I$323:$I$332,"&gt;"&amp;I330)</f>
        <v/>
      </c>
    </row>
    <row r="331">
      <c r="A331" t="inlineStr">
        <is>
          <t>BG</t>
        </is>
      </c>
      <c r="B331">
        <f>Processing_index!$S$14</f>
        <v/>
      </c>
      <c r="C331">
        <f>Processing_index!$T$14</f>
        <v/>
      </c>
      <c r="D331">
        <f>Processing_index!$U$14</f>
        <v/>
      </c>
      <c r="E331">
        <f>Processing_index!$W$14</f>
        <v/>
      </c>
      <c r="F331">
        <f>AVERAGE(B331:E331)</f>
        <v/>
      </c>
      <c r="G331">
        <f>MIN(B331:E331)</f>
        <v/>
      </c>
      <c r="H331">
        <f>1-alpha*MAX(0,delta-G331)</f>
        <v/>
      </c>
      <c r="I331">
        <f>F331*H331</f>
        <v/>
      </c>
      <c r="J331">
        <f>1+COUNTIF($I$323:$I$332,"&gt;"&amp;I331)</f>
        <v/>
      </c>
    </row>
    <row r="332">
      <c r="A332" t="inlineStr">
        <is>
          <t>UA</t>
        </is>
      </c>
      <c r="B332">
        <f>Processing_index!$S$15</f>
        <v/>
      </c>
      <c r="C332">
        <f>Processing_index!$T$15</f>
        <v/>
      </c>
      <c r="D332">
        <f>Processing_index!$U$15</f>
        <v/>
      </c>
      <c r="E332">
        <f>Processing_index!$W$15</f>
        <v/>
      </c>
      <c r="F332">
        <f>AVERAGE(B332:E332)</f>
        <v/>
      </c>
      <c r="G332">
        <f>MIN(B332:E332)</f>
        <v/>
      </c>
      <c r="H332">
        <f>1-alpha*MAX(0,delta-G332)</f>
        <v/>
      </c>
      <c r="I332">
        <f>F332*H332</f>
        <v/>
      </c>
      <c r="J332">
        <f>1+COUNTIF($I$323:$I$332,"&gt;"&amp;I332)</f>
        <v/>
      </c>
    </row>
    <row r="333">
      <c r="A333" s="3" t="inlineStr">
        <is>
          <t>Spearman with baseline</t>
        </is>
      </c>
      <c r="B333">
        <f>1-6*SUMPRODUCT((Processing_index!$AF$6:$AF$15-$J$323:$J$332)^2)/(10*(10^2-1))</f>
        <v/>
      </c>
    </row>
    <row r="334">
      <c r="A334" s="3" t="inlineStr">
        <is>
          <t>Units whose rank changed</t>
        </is>
      </c>
      <c r="B334">
        <f>SUMPRODUCT(--(Processing_index!$AF$6:$AF$15&lt;&gt;$J$323:$J$332))</f>
        <v/>
      </c>
    </row>
    <row r="336">
      <c r="A336" s="3" t="inlineStr">
        <is>
          <t>Without L4</t>
        </is>
      </c>
    </row>
    <row r="337">
      <c r="A337" s="3" t="inlineStr">
        <is>
          <t>Unit</t>
        </is>
      </c>
      <c r="B337" s="3" t="inlineStr">
        <is>
          <t>C</t>
        </is>
      </c>
      <c r="C337" s="3" t="inlineStr">
        <is>
          <t>L1</t>
        </is>
      </c>
      <c r="D337" s="3" t="inlineStr">
        <is>
          <t>L2</t>
        </is>
      </c>
      <c r="E337" s="3" t="inlineStr">
        <is>
          <t>L3</t>
        </is>
      </c>
      <c r="F337" s="3" t="inlineStr">
        <is>
          <t>ADMI_base</t>
        </is>
      </c>
      <c r="G337" s="3" t="inlineStr">
        <is>
          <t>DM_min</t>
        </is>
      </c>
      <c r="H337" s="3" t="inlineStr">
        <is>
          <t>Penalty</t>
        </is>
      </c>
      <c r="I337" s="3" t="inlineStr">
        <is>
          <t>ADMI</t>
        </is>
      </c>
      <c r="J337" s="3" t="inlineStr">
        <is>
          <t>Rank</t>
        </is>
      </c>
    </row>
    <row r="338">
      <c r="A338" t="inlineStr">
        <is>
          <t>PL</t>
        </is>
      </c>
      <c r="B338">
        <f>Processing_index!$S$6</f>
        <v/>
      </c>
      <c r="C338">
        <f>Processing_index!$T$6</f>
        <v/>
      </c>
      <c r="D338">
        <f>Processing_index!$U$6</f>
        <v/>
      </c>
      <c r="E338">
        <f>Processing_index!$V$6</f>
        <v/>
      </c>
      <c r="F338">
        <f>AVERAGE(B338:E338)</f>
        <v/>
      </c>
      <c r="G338">
        <f>MIN(B338:E338)</f>
        <v/>
      </c>
      <c r="H338">
        <f>1-alpha*MAX(0,delta-G338)</f>
        <v/>
      </c>
      <c r="I338">
        <f>F338*H338</f>
        <v/>
      </c>
      <c r="J338">
        <f>1+COUNTIF($I$338:$I$347,"&gt;"&amp;I338)</f>
        <v/>
      </c>
    </row>
    <row r="339">
      <c r="A339" t="inlineStr">
        <is>
          <t>HU</t>
        </is>
      </c>
      <c r="B339">
        <f>Processing_index!$S$7</f>
        <v/>
      </c>
      <c r="C339">
        <f>Processing_index!$T$7</f>
        <v/>
      </c>
      <c r="D339">
        <f>Processing_index!$U$7</f>
        <v/>
      </c>
      <c r="E339">
        <f>Processing_index!$V$7</f>
        <v/>
      </c>
      <c r="F339">
        <f>AVERAGE(B339:E339)</f>
        <v/>
      </c>
      <c r="G339">
        <f>MIN(B339:E339)</f>
        <v/>
      </c>
      <c r="H339">
        <f>1-alpha*MAX(0,delta-G339)</f>
        <v/>
      </c>
      <c r="I339">
        <f>F339*H339</f>
        <v/>
      </c>
      <c r="J339">
        <f>1+COUNTIF($I$338:$I$347,"&gt;"&amp;I339)</f>
        <v/>
      </c>
    </row>
    <row r="340">
      <c r="A340" t="inlineStr">
        <is>
          <t>RO</t>
        </is>
      </c>
      <c r="B340">
        <f>Processing_index!$S$8</f>
        <v/>
      </c>
      <c r="C340">
        <f>Processing_index!$T$8</f>
        <v/>
      </c>
      <c r="D340">
        <f>Processing_index!$U$8</f>
        <v/>
      </c>
      <c r="E340">
        <f>Processing_index!$V$8</f>
        <v/>
      </c>
      <c r="F340">
        <f>AVERAGE(B340:E340)</f>
        <v/>
      </c>
      <c r="G340">
        <f>MIN(B340:E340)</f>
        <v/>
      </c>
      <c r="H340">
        <f>1-alpha*MAX(0,delta-G340)</f>
        <v/>
      </c>
      <c r="I340">
        <f>F340*H340</f>
        <v/>
      </c>
      <c r="J340">
        <f>1+COUNTIF($I$338:$I$347,"&gt;"&amp;I340)</f>
        <v/>
      </c>
    </row>
    <row r="341">
      <c r="A341" t="inlineStr">
        <is>
          <t>CZ</t>
        </is>
      </c>
      <c r="B341">
        <f>Processing_index!$S$9</f>
        <v/>
      </c>
      <c r="C341">
        <f>Processing_index!$T$9</f>
        <v/>
      </c>
      <c r="D341">
        <f>Processing_index!$U$9</f>
        <v/>
      </c>
      <c r="E341">
        <f>Processing_index!$V$9</f>
        <v/>
      </c>
      <c r="F341">
        <f>AVERAGE(B341:E341)</f>
        <v/>
      </c>
      <c r="G341">
        <f>MIN(B341:E341)</f>
        <v/>
      </c>
      <c r="H341">
        <f>1-alpha*MAX(0,delta-G341)</f>
        <v/>
      </c>
      <c r="I341">
        <f>F341*H341</f>
        <v/>
      </c>
      <c r="J341">
        <f>1+COUNTIF($I$338:$I$347,"&gt;"&amp;I341)</f>
        <v/>
      </c>
    </row>
    <row r="342">
      <c r="A342" t="inlineStr">
        <is>
          <t>SK</t>
        </is>
      </c>
      <c r="B342">
        <f>Processing_index!$S$10</f>
        <v/>
      </c>
      <c r="C342">
        <f>Processing_index!$T$10</f>
        <v/>
      </c>
      <c r="D342">
        <f>Processing_index!$U$10</f>
        <v/>
      </c>
      <c r="E342">
        <f>Processing_index!$V$10</f>
        <v/>
      </c>
      <c r="F342">
        <f>AVERAGE(B342:E342)</f>
        <v/>
      </c>
      <c r="G342">
        <f>MIN(B342:E342)</f>
        <v/>
      </c>
      <c r="H342">
        <f>1-alpha*MAX(0,delta-G342)</f>
        <v/>
      </c>
      <c r="I342">
        <f>F342*H342</f>
        <v/>
      </c>
      <c r="J342">
        <f>1+COUNTIF($I$338:$I$347,"&gt;"&amp;I342)</f>
        <v/>
      </c>
    </row>
    <row r="343">
      <c r="A343" t="inlineStr">
        <is>
          <t>LT</t>
        </is>
      </c>
      <c r="B343">
        <f>Processing_index!$S$11</f>
        <v/>
      </c>
      <c r="C343">
        <f>Processing_index!$T$11</f>
        <v/>
      </c>
      <c r="D343">
        <f>Processing_index!$U$11</f>
        <v/>
      </c>
      <c r="E343">
        <f>Processing_index!$V$11</f>
        <v/>
      </c>
      <c r="F343">
        <f>AVERAGE(B343:E343)</f>
        <v/>
      </c>
      <c r="G343">
        <f>MIN(B343:E343)</f>
        <v/>
      </c>
      <c r="H343">
        <f>1-alpha*MAX(0,delta-G343)</f>
        <v/>
      </c>
      <c r="I343">
        <f>F343*H343</f>
        <v/>
      </c>
      <c r="J343">
        <f>1+COUNTIF($I$338:$I$347,"&gt;"&amp;I343)</f>
        <v/>
      </c>
    </row>
    <row r="344">
      <c r="A344" t="inlineStr">
        <is>
          <t>LV</t>
        </is>
      </c>
      <c r="B344">
        <f>Processing_index!$S$12</f>
        <v/>
      </c>
      <c r="C344">
        <f>Processing_index!$T$12</f>
        <v/>
      </c>
      <c r="D344">
        <f>Processing_index!$U$12</f>
        <v/>
      </c>
      <c r="E344">
        <f>Processing_index!$V$12</f>
        <v/>
      </c>
      <c r="F344">
        <f>AVERAGE(B344:E344)</f>
        <v/>
      </c>
      <c r="G344">
        <f>MIN(B344:E344)</f>
        <v/>
      </c>
      <c r="H344">
        <f>1-alpha*MAX(0,delta-G344)</f>
        <v/>
      </c>
      <c r="I344">
        <f>F344*H344</f>
        <v/>
      </c>
      <c r="J344">
        <f>1+COUNTIF($I$338:$I$347,"&gt;"&amp;I344)</f>
        <v/>
      </c>
    </row>
    <row r="345">
      <c r="A345" t="inlineStr">
        <is>
          <t>EE</t>
        </is>
      </c>
      <c r="B345">
        <f>Processing_index!$S$13</f>
        <v/>
      </c>
      <c r="C345">
        <f>Processing_index!$T$13</f>
        <v/>
      </c>
      <c r="D345">
        <f>Processing_index!$U$13</f>
        <v/>
      </c>
      <c r="E345">
        <f>Processing_index!$V$13</f>
        <v/>
      </c>
      <c r="F345">
        <f>AVERAGE(B345:E345)</f>
        <v/>
      </c>
      <c r="G345">
        <f>MIN(B345:E345)</f>
        <v/>
      </c>
      <c r="H345">
        <f>1-alpha*MAX(0,delta-G345)</f>
        <v/>
      </c>
      <c r="I345">
        <f>F345*H345</f>
        <v/>
      </c>
      <c r="J345">
        <f>1+COUNTIF($I$338:$I$347,"&gt;"&amp;I345)</f>
        <v/>
      </c>
    </row>
    <row r="346">
      <c r="A346" t="inlineStr">
        <is>
          <t>BG</t>
        </is>
      </c>
      <c r="B346">
        <f>Processing_index!$S$14</f>
        <v/>
      </c>
      <c r="C346">
        <f>Processing_index!$T$14</f>
        <v/>
      </c>
      <c r="D346">
        <f>Processing_index!$U$14</f>
        <v/>
      </c>
      <c r="E346">
        <f>Processing_index!$V$14</f>
        <v/>
      </c>
      <c r="F346">
        <f>AVERAGE(B346:E346)</f>
        <v/>
      </c>
      <c r="G346">
        <f>MIN(B346:E346)</f>
        <v/>
      </c>
      <c r="H346">
        <f>1-alpha*MAX(0,delta-G346)</f>
        <v/>
      </c>
      <c r="I346">
        <f>F346*H346</f>
        <v/>
      </c>
      <c r="J346">
        <f>1+COUNTIF($I$338:$I$347,"&gt;"&amp;I346)</f>
        <v/>
      </c>
    </row>
    <row r="347">
      <c r="A347" t="inlineStr">
        <is>
          <t>UA</t>
        </is>
      </c>
      <c r="B347">
        <f>Processing_index!$S$15</f>
        <v/>
      </c>
      <c r="C347">
        <f>Processing_index!$T$15</f>
        <v/>
      </c>
      <c r="D347">
        <f>Processing_index!$U$15</f>
        <v/>
      </c>
      <c r="E347">
        <f>Processing_index!$V$15</f>
        <v/>
      </c>
      <c r="F347">
        <f>AVERAGE(B347:E347)</f>
        <v/>
      </c>
      <c r="G347">
        <f>MIN(B347:E347)</f>
        <v/>
      </c>
      <c r="H347">
        <f>1-alpha*MAX(0,delta-G347)</f>
        <v/>
      </c>
      <c r="I347">
        <f>F347*H347</f>
        <v/>
      </c>
      <c r="J347">
        <f>1+COUNTIF($I$338:$I$347,"&gt;"&amp;I347)</f>
        <v/>
      </c>
    </row>
    <row r="348">
      <c r="A348" s="3" t="inlineStr">
        <is>
          <t>Spearman with baseline</t>
        </is>
      </c>
      <c r="B348">
        <f>1-6*SUMPRODUCT((Processing_index!$AF$6:$AF$15-$J$338:$J$347)^2)/(10*(10^2-1))</f>
        <v/>
      </c>
    </row>
    <row r="349">
      <c r="A349" s="3" t="inlineStr">
        <is>
          <t>Units whose rank changed</t>
        </is>
      </c>
      <c r="B349">
        <f>SUMPRODUCT(--(Processing_index!$AF$6:$AF$15&lt;&gt;$J$338:$J$347))</f>
        <v/>
      </c>
    </row>
    <row r="351">
      <c r="A351" s="3" t="inlineStr">
        <is>
          <t>Year-aligned subset: indicators whose EU and Ukrainian years differ by at most max_year_gap (Parameters)</t>
        </is>
      </c>
    </row>
    <row r="352">
      <c r="A352" s="3" t="inlineStr">
        <is>
          <t>Indicator</t>
        </is>
      </c>
      <c r="B352" s="3" t="inlineStr">
        <is>
          <t>ERP</t>
        </is>
      </c>
      <c r="C352" s="3" t="inlineStr">
        <is>
          <t>IOT_PRODUCTION</t>
        </is>
      </c>
      <c r="D352" s="3" t="inlineStr">
        <is>
          <t>ICT_SECURITY_DOCUMENT</t>
        </is>
      </c>
      <c r="E352" s="3" t="inlineStr">
        <is>
          <t>ICT_TRAINING_ICT_SPECIALISTS</t>
        </is>
      </c>
      <c r="F352" s="3" t="inlineStr">
        <is>
          <t>ICT_TRAINING_OTHER_EMPLOYEES</t>
        </is>
      </c>
      <c r="G352" s="3" t="inlineStr">
        <is>
          <t>SUPPLY_CHAIN_DATA_EXCHANGE</t>
        </is>
      </c>
      <c r="H352" s="3" t="inlineStr">
        <is>
          <t>DATA_ANALYTICS</t>
        </is>
      </c>
      <c r="I352" s="3" t="inlineStr">
        <is>
          <t>IOT_ANY</t>
        </is>
      </c>
      <c r="J352" s="3" t="inlineStr">
        <is>
          <t>MOBILE_INTERNET</t>
        </is>
      </c>
      <c r="K352" s="3" t="inlineStr">
        <is>
          <t>PAID_CLOUD</t>
        </is>
      </c>
      <c r="L352" s="3" t="inlineStr">
        <is>
          <t>ECOMMERCE_SALES</t>
        </is>
      </c>
      <c r="M352" s="3" t="inlineStr">
        <is>
          <t>WEBSITE</t>
        </is>
      </c>
      <c r="N352" s="3" t="inlineStr">
        <is>
          <t>CRM</t>
        </is>
      </c>
    </row>
    <row r="353">
      <c r="A353" s="3" t="inlineStr">
        <is>
          <t>Year gap</t>
        </is>
      </c>
      <c r="B353">
        <f>ABS(Processing_data!$E$4-Processing_data!$F$4)</f>
        <v/>
      </c>
      <c r="C353">
        <f>ABS(Processing_data!$E$5-Processing_data!$F$5)</f>
        <v/>
      </c>
      <c r="D353">
        <f>ABS(Processing_data!$E$6-Processing_data!$F$6)</f>
        <v/>
      </c>
      <c r="E353">
        <f>ABS(Processing_data!$E$7-Processing_data!$F$7)</f>
        <v/>
      </c>
      <c r="F353">
        <f>ABS(Processing_data!$E$8-Processing_data!$F$8)</f>
        <v/>
      </c>
      <c r="G353">
        <f>ABS(Processing_data!$E$9-Processing_data!$F$9)</f>
        <v/>
      </c>
      <c r="H353">
        <f>ABS(Processing_data!$E$10-Processing_data!$F$10)</f>
        <v/>
      </c>
      <c r="I353">
        <f>ABS(Processing_data!$E$11-Processing_data!$F$11)</f>
        <v/>
      </c>
      <c r="J353">
        <f>ABS(Processing_data!$E$12-Processing_data!$F$12)</f>
        <v/>
      </c>
      <c r="K353">
        <f>ABS(Processing_data!$E$13-Processing_data!$F$13)</f>
        <v/>
      </c>
      <c r="L353">
        <f>ABS(Processing_data!$E$14-Processing_data!$F$14)</f>
        <v/>
      </c>
      <c r="M353">
        <f>ABS(Processing_data!$E$15-Processing_data!$F$15)</f>
        <v/>
      </c>
      <c r="N353">
        <f>ABS(Processing_data!$E$16-Processing_data!$F$16)</f>
        <v/>
      </c>
    </row>
    <row r="354">
      <c r="A354" s="3" t="inlineStr">
        <is>
          <t>Included (1/0)</t>
        </is>
      </c>
      <c r="B354">
        <f>IF(B353&lt;=max_year_gap,1,0)</f>
        <v/>
      </c>
      <c r="C354">
        <f>IF(C353&lt;=max_year_gap,1,0)</f>
        <v/>
      </c>
      <c r="D354">
        <f>IF(D353&lt;=max_year_gap,1,0)</f>
        <v/>
      </c>
      <c r="E354">
        <f>IF(E353&lt;=max_year_gap,1,0)</f>
        <v/>
      </c>
      <c r="F354">
        <f>IF(F353&lt;=max_year_gap,1,0)</f>
        <v/>
      </c>
      <c r="G354">
        <f>IF(G353&lt;=max_year_gap,1,0)</f>
        <v/>
      </c>
      <c r="H354">
        <f>IF(H353&lt;=max_year_gap,1,0)</f>
        <v/>
      </c>
      <c r="I354">
        <f>IF(I353&lt;=max_year_gap,1,0)</f>
        <v/>
      </c>
      <c r="J354">
        <f>IF(J353&lt;=max_year_gap,1,0)</f>
        <v/>
      </c>
      <c r="K354">
        <f>IF(K353&lt;=max_year_gap,1,0)</f>
        <v/>
      </c>
      <c r="L354">
        <f>IF(L353&lt;=max_year_gap,1,0)</f>
        <v/>
      </c>
      <c r="M354">
        <f>IF(M353&lt;=max_year_gap,1,0)</f>
        <v/>
      </c>
      <c r="N354">
        <f>IF(N353&lt;=max_year_gap,1,0)</f>
        <v/>
      </c>
    </row>
    <row r="356">
      <c r="A356" s="3" t="inlineStr">
        <is>
          <t>Unit</t>
        </is>
      </c>
      <c r="B356" s="3" t="inlineStr">
        <is>
          <t>ERP</t>
        </is>
      </c>
      <c r="C356" s="3" t="inlineStr">
        <is>
          <t>IOT_PRODUCTION</t>
        </is>
      </c>
      <c r="D356" s="3" t="inlineStr">
        <is>
          <t>ICT_SECURITY_DOCUMENT</t>
        </is>
      </c>
      <c r="E356" s="3" t="inlineStr">
        <is>
          <t>ICT_TRAINING_ICT_SPECIALISTS</t>
        </is>
      </c>
      <c r="F356" s="3" t="inlineStr">
        <is>
          <t>ICT_TRAINING_OTHER_EMPLOYEES</t>
        </is>
      </c>
      <c r="G356" s="3" t="inlineStr">
        <is>
          <t>SUPPLY_CHAIN_DATA_EXCHANGE</t>
        </is>
      </c>
      <c r="H356" s="3" t="inlineStr">
        <is>
          <t>DATA_ANALYTICS</t>
        </is>
      </c>
      <c r="I356" s="3" t="inlineStr">
        <is>
          <t>IOT_ANY</t>
        </is>
      </c>
      <c r="J356" s="3" t="inlineStr">
        <is>
          <t>MOBILE_INTERNET</t>
        </is>
      </c>
      <c r="K356" s="3" t="inlineStr">
        <is>
          <t>PAID_CLOUD</t>
        </is>
      </c>
      <c r="L356" s="3" t="inlineStr">
        <is>
          <t>ECOMMERCE_SALES</t>
        </is>
      </c>
      <c r="M356" s="3" t="inlineStr">
        <is>
          <t>WEBSITE</t>
        </is>
      </c>
      <c r="N356" s="3" t="inlineStr">
        <is>
          <t>CRM</t>
        </is>
      </c>
      <c r="O356" s="3" t="inlineStr">
        <is>
          <t>C</t>
        </is>
      </c>
      <c r="P356" s="3" t="inlineStr">
        <is>
          <t>L1</t>
        </is>
      </c>
      <c r="Q356" s="3" t="inlineStr">
        <is>
          <t>L2</t>
        </is>
      </c>
      <c r="R356" s="3" t="inlineStr">
        <is>
          <t>L3</t>
        </is>
      </c>
      <c r="S356" s="3" t="inlineStr">
        <is>
          <t>L4</t>
        </is>
      </c>
      <c r="T356" s="3" t="inlineStr">
        <is>
          <t>ADMI_base</t>
        </is>
      </c>
      <c r="U356" s="3" t="inlineStr">
        <is>
          <t>DM_min</t>
        </is>
      </c>
      <c r="V356" s="3" t="inlineStr">
        <is>
          <t>Penalty</t>
        </is>
      </c>
      <c r="W356" s="3" t="inlineStr">
        <is>
          <t>ADMI</t>
        </is>
      </c>
      <c r="X356" s="3" t="inlineStr">
        <is>
          <t>Rank</t>
        </is>
      </c>
    </row>
    <row r="357">
      <c r="A357" t="inlineStr">
        <is>
          <t>PL</t>
        </is>
      </c>
      <c r="B357">
        <f>IF(B$354=1,Processing_index!$B$6,"")</f>
        <v/>
      </c>
      <c r="C357">
        <f>IF(C$354=1,Processing_index!$C$6,"")</f>
        <v/>
      </c>
      <c r="D357">
        <f>IF(D$354=1,Processing_index!$D$6,"")</f>
        <v/>
      </c>
      <c r="E357">
        <f>IF(E$354=1,Processing_index!$E$6,"")</f>
        <v/>
      </c>
      <c r="F357">
        <f>IF(F$354=1,Processing_index!$F$6,"")</f>
        <v/>
      </c>
      <c r="G357">
        <f>IF(G$354=1,Processing_index!$G$6,"")</f>
        <v/>
      </c>
      <c r="H357">
        <f>IF(H$354=1,Processing_index!$H$6,"")</f>
        <v/>
      </c>
      <c r="I357">
        <f>IF(I$354=1,Processing_index!$I$6,"")</f>
        <v/>
      </c>
      <c r="J357">
        <f>IF(J$354=1,Processing_index!$J$6,"")</f>
        <v/>
      </c>
      <c r="K357">
        <f>IF(K$354=1,Processing_index!$K$6,"")</f>
        <v/>
      </c>
      <c r="L357">
        <f>IF(L$354=1,Processing_index!$L$6,"")</f>
        <v/>
      </c>
      <c r="M357">
        <f>IF(M$354=1,Processing_index!$M$6,"")</f>
        <v/>
      </c>
      <c r="N357">
        <f>IF(N$354=1,Processing_index!$N$6,"")</f>
        <v/>
      </c>
      <c r="O357">
        <f>AVERAGE(B357:D357)</f>
        <v/>
      </c>
      <c r="P357">
        <f>AVERAGE(E357:F357)</f>
        <v/>
      </c>
      <c r="Q357">
        <f>AVERAGE(G357:I357)</f>
        <v/>
      </c>
      <c r="R357">
        <f>AVERAGE(J357:K357)</f>
        <v/>
      </c>
      <c r="S357">
        <f>AVERAGE(L357:N357)</f>
        <v/>
      </c>
      <c r="T357">
        <f>AVERAGE(O357:S357)</f>
        <v/>
      </c>
      <c r="U357">
        <f>MIN(O357:S357)</f>
        <v/>
      </c>
      <c r="V357">
        <f>1-alpha*MAX(0,delta-U357)</f>
        <v/>
      </c>
      <c r="W357">
        <f>T357*V357</f>
        <v/>
      </c>
      <c r="X357">
        <f>1+COUNTIF($W$357:$W$366,"&gt;"&amp;W357)</f>
        <v/>
      </c>
    </row>
    <row r="358">
      <c r="A358" t="inlineStr">
        <is>
          <t>HU</t>
        </is>
      </c>
      <c r="B358">
        <f>IF(B$354=1,Processing_index!$B$7,"")</f>
        <v/>
      </c>
      <c r="C358">
        <f>IF(C$354=1,Processing_index!$C$7,"")</f>
        <v/>
      </c>
      <c r="D358">
        <f>IF(D$354=1,Processing_index!$D$7,"")</f>
        <v/>
      </c>
      <c r="E358">
        <f>IF(E$354=1,Processing_index!$E$7,"")</f>
        <v/>
      </c>
      <c r="F358">
        <f>IF(F$354=1,Processing_index!$F$7,"")</f>
        <v/>
      </c>
      <c r="G358">
        <f>IF(G$354=1,Processing_index!$G$7,"")</f>
        <v/>
      </c>
      <c r="H358">
        <f>IF(H$354=1,Processing_index!$H$7,"")</f>
        <v/>
      </c>
      <c r="I358">
        <f>IF(I$354=1,Processing_index!$I$7,"")</f>
        <v/>
      </c>
      <c r="J358">
        <f>IF(J$354=1,Processing_index!$J$7,"")</f>
        <v/>
      </c>
      <c r="K358">
        <f>IF(K$354=1,Processing_index!$K$7,"")</f>
        <v/>
      </c>
      <c r="L358">
        <f>IF(L$354=1,Processing_index!$L$7,"")</f>
        <v/>
      </c>
      <c r="M358">
        <f>IF(M$354=1,Processing_index!$M$7,"")</f>
        <v/>
      </c>
      <c r="N358">
        <f>IF(N$354=1,Processing_index!$N$7,"")</f>
        <v/>
      </c>
      <c r="O358">
        <f>AVERAGE(B358:D358)</f>
        <v/>
      </c>
      <c r="P358">
        <f>AVERAGE(E358:F358)</f>
        <v/>
      </c>
      <c r="Q358">
        <f>AVERAGE(G358:I358)</f>
        <v/>
      </c>
      <c r="R358">
        <f>AVERAGE(J358:K358)</f>
        <v/>
      </c>
      <c r="S358">
        <f>AVERAGE(L358:N358)</f>
        <v/>
      </c>
      <c r="T358">
        <f>AVERAGE(O358:S358)</f>
        <v/>
      </c>
      <c r="U358">
        <f>MIN(O358:S358)</f>
        <v/>
      </c>
      <c r="V358">
        <f>1-alpha*MAX(0,delta-U358)</f>
        <v/>
      </c>
      <c r="W358">
        <f>T358*V358</f>
        <v/>
      </c>
      <c r="X358">
        <f>1+COUNTIF($W$357:$W$366,"&gt;"&amp;W358)</f>
        <v/>
      </c>
    </row>
    <row r="359">
      <c r="A359" t="inlineStr">
        <is>
          <t>RO</t>
        </is>
      </c>
      <c r="B359">
        <f>IF(B$354=1,Processing_index!$B$8,"")</f>
        <v/>
      </c>
      <c r="C359">
        <f>IF(C$354=1,Processing_index!$C$8,"")</f>
        <v/>
      </c>
      <c r="D359">
        <f>IF(D$354=1,Processing_index!$D$8,"")</f>
        <v/>
      </c>
      <c r="E359">
        <f>IF(E$354=1,Processing_index!$E$8,"")</f>
        <v/>
      </c>
      <c r="F359">
        <f>IF(F$354=1,Processing_index!$F$8,"")</f>
        <v/>
      </c>
      <c r="G359">
        <f>IF(G$354=1,Processing_index!$G$8,"")</f>
        <v/>
      </c>
      <c r="H359">
        <f>IF(H$354=1,Processing_index!$H$8,"")</f>
        <v/>
      </c>
      <c r="I359">
        <f>IF(I$354=1,Processing_index!$I$8,"")</f>
        <v/>
      </c>
      <c r="J359">
        <f>IF(J$354=1,Processing_index!$J$8,"")</f>
        <v/>
      </c>
      <c r="K359">
        <f>IF(K$354=1,Processing_index!$K$8,"")</f>
        <v/>
      </c>
      <c r="L359">
        <f>IF(L$354=1,Processing_index!$L$8,"")</f>
        <v/>
      </c>
      <c r="M359">
        <f>IF(M$354=1,Processing_index!$M$8,"")</f>
        <v/>
      </c>
      <c r="N359">
        <f>IF(N$354=1,Processing_index!$N$8,"")</f>
        <v/>
      </c>
      <c r="O359">
        <f>AVERAGE(B359:D359)</f>
        <v/>
      </c>
      <c r="P359">
        <f>AVERAGE(E359:F359)</f>
        <v/>
      </c>
      <c r="Q359">
        <f>AVERAGE(G359:I359)</f>
        <v/>
      </c>
      <c r="R359">
        <f>AVERAGE(J359:K359)</f>
        <v/>
      </c>
      <c r="S359">
        <f>AVERAGE(L359:N359)</f>
        <v/>
      </c>
      <c r="T359">
        <f>AVERAGE(O359:S359)</f>
        <v/>
      </c>
      <c r="U359">
        <f>MIN(O359:S359)</f>
        <v/>
      </c>
      <c r="V359">
        <f>1-alpha*MAX(0,delta-U359)</f>
        <v/>
      </c>
      <c r="W359">
        <f>T359*V359</f>
        <v/>
      </c>
      <c r="X359">
        <f>1+COUNTIF($W$357:$W$366,"&gt;"&amp;W359)</f>
        <v/>
      </c>
    </row>
    <row r="360">
      <c r="A360" t="inlineStr">
        <is>
          <t>CZ</t>
        </is>
      </c>
      <c r="B360">
        <f>IF(B$354=1,Processing_index!$B$9,"")</f>
        <v/>
      </c>
      <c r="C360">
        <f>IF(C$354=1,Processing_index!$C$9,"")</f>
        <v/>
      </c>
      <c r="D360">
        <f>IF(D$354=1,Processing_index!$D$9,"")</f>
        <v/>
      </c>
      <c r="E360">
        <f>IF(E$354=1,Processing_index!$E$9,"")</f>
        <v/>
      </c>
      <c r="F360">
        <f>IF(F$354=1,Processing_index!$F$9,"")</f>
        <v/>
      </c>
      <c r="G360">
        <f>IF(G$354=1,Processing_index!$G$9,"")</f>
        <v/>
      </c>
      <c r="H360">
        <f>IF(H$354=1,Processing_index!$H$9,"")</f>
        <v/>
      </c>
      <c r="I360">
        <f>IF(I$354=1,Processing_index!$I$9,"")</f>
        <v/>
      </c>
      <c r="J360">
        <f>IF(J$354=1,Processing_index!$J$9,"")</f>
        <v/>
      </c>
      <c r="K360">
        <f>IF(K$354=1,Processing_index!$K$9,"")</f>
        <v/>
      </c>
      <c r="L360">
        <f>IF(L$354=1,Processing_index!$L$9,"")</f>
        <v/>
      </c>
      <c r="M360">
        <f>IF(M$354=1,Processing_index!$M$9,"")</f>
        <v/>
      </c>
      <c r="N360">
        <f>IF(N$354=1,Processing_index!$N$9,"")</f>
        <v/>
      </c>
      <c r="O360">
        <f>AVERAGE(B360:D360)</f>
        <v/>
      </c>
      <c r="P360">
        <f>AVERAGE(E360:F360)</f>
        <v/>
      </c>
      <c r="Q360">
        <f>AVERAGE(G360:I360)</f>
        <v/>
      </c>
      <c r="R360">
        <f>AVERAGE(J360:K360)</f>
        <v/>
      </c>
      <c r="S360">
        <f>AVERAGE(L360:N360)</f>
        <v/>
      </c>
      <c r="T360">
        <f>AVERAGE(O360:S360)</f>
        <v/>
      </c>
      <c r="U360">
        <f>MIN(O360:S360)</f>
        <v/>
      </c>
      <c r="V360">
        <f>1-alpha*MAX(0,delta-U360)</f>
        <v/>
      </c>
      <c r="W360">
        <f>T360*V360</f>
        <v/>
      </c>
      <c r="X360">
        <f>1+COUNTIF($W$357:$W$366,"&gt;"&amp;W360)</f>
        <v/>
      </c>
    </row>
    <row r="361">
      <c r="A361" t="inlineStr">
        <is>
          <t>SK</t>
        </is>
      </c>
      <c r="B361">
        <f>IF(B$354=1,Processing_index!$B$10,"")</f>
        <v/>
      </c>
      <c r="C361">
        <f>IF(C$354=1,Processing_index!$C$10,"")</f>
        <v/>
      </c>
      <c r="D361">
        <f>IF(D$354=1,Processing_index!$D$10,"")</f>
        <v/>
      </c>
      <c r="E361">
        <f>IF(E$354=1,Processing_index!$E$10,"")</f>
        <v/>
      </c>
      <c r="F361">
        <f>IF(F$354=1,Processing_index!$F$10,"")</f>
        <v/>
      </c>
      <c r="G361">
        <f>IF(G$354=1,Processing_index!$G$10,"")</f>
        <v/>
      </c>
      <c r="H361">
        <f>IF(H$354=1,Processing_index!$H$10,"")</f>
        <v/>
      </c>
      <c r="I361">
        <f>IF(I$354=1,Processing_index!$I$10,"")</f>
        <v/>
      </c>
      <c r="J361">
        <f>IF(J$354=1,Processing_index!$J$10,"")</f>
        <v/>
      </c>
      <c r="K361">
        <f>IF(K$354=1,Processing_index!$K$10,"")</f>
        <v/>
      </c>
      <c r="L361">
        <f>IF(L$354=1,Processing_index!$L$10,"")</f>
        <v/>
      </c>
      <c r="M361">
        <f>IF(M$354=1,Processing_index!$M$10,"")</f>
        <v/>
      </c>
      <c r="N361">
        <f>IF(N$354=1,Processing_index!$N$10,"")</f>
        <v/>
      </c>
      <c r="O361">
        <f>AVERAGE(B361:D361)</f>
        <v/>
      </c>
      <c r="P361">
        <f>AVERAGE(E361:F361)</f>
        <v/>
      </c>
      <c r="Q361">
        <f>AVERAGE(G361:I361)</f>
        <v/>
      </c>
      <c r="R361">
        <f>AVERAGE(J361:K361)</f>
        <v/>
      </c>
      <c r="S361">
        <f>AVERAGE(L361:N361)</f>
        <v/>
      </c>
      <c r="T361">
        <f>AVERAGE(O361:S361)</f>
        <v/>
      </c>
      <c r="U361">
        <f>MIN(O361:S361)</f>
        <v/>
      </c>
      <c r="V361">
        <f>1-alpha*MAX(0,delta-U361)</f>
        <v/>
      </c>
      <c r="W361">
        <f>T361*V361</f>
        <v/>
      </c>
      <c r="X361">
        <f>1+COUNTIF($W$357:$W$366,"&gt;"&amp;W361)</f>
        <v/>
      </c>
    </row>
    <row r="362">
      <c r="A362" t="inlineStr">
        <is>
          <t>LT</t>
        </is>
      </c>
      <c r="B362">
        <f>IF(B$354=1,Processing_index!$B$11,"")</f>
        <v/>
      </c>
      <c r="C362">
        <f>IF(C$354=1,Processing_index!$C$11,"")</f>
        <v/>
      </c>
      <c r="D362">
        <f>IF(D$354=1,Processing_index!$D$11,"")</f>
        <v/>
      </c>
      <c r="E362">
        <f>IF(E$354=1,Processing_index!$E$11,"")</f>
        <v/>
      </c>
      <c r="F362">
        <f>IF(F$354=1,Processing_index!$F$11,"")</f>
        <v/>
      </c>
      <c r="G362">
        <f>IF(G$354=1,Processing_index!$G$11,"")</f>
        <v/>
      </c>
      <c r="H362">
        <f>IF(H$354=1,Processing_index!$H$11,"")</f>
        <v/>
      </c>
      <c r="I362">
        <f>IF(I$354=1,Processing_index!$I$11,"")</f>
        <v/>
      </c>
      <c r="J362">
        <f>IF(J$354=1,Processing_index!$J$11,"")</f>
        <v/>
      </c>
      <c r="K362">
        <f>IF(K$354=1,Processing_index!$K$11,"")</f>
        <v/>
      </c>
      <c r="L362">
        <f>IF(L$354=1,Processing_index!$L$11,"")</f>
        <v/>
      </c>
      <c r="M362">
        <f>IF(M$354=1,Processing_index!$M$11,"")</f>
        <v/>
      </c>
      <c r="N362">
        <f>IF(N$354=1,Processing_index!$N$11,"")</f>
        <v/>
      </c>
      <c r="O362">
        <f>AVERAGE(B362:D362)</f>
        <v/>
      </c>
      <c r="P362">
        <f>AVERAGE(E362:F362)</f>
        <v/>
      </c>
      <c r="Q362">
        <f>AVERAGE(G362:I362)</f>
        <v/>
      </c>
      <c r="R362">
        <f>AVERAGE(J362:K362)</f>
        <v/>
      </c>
      <c r="S362">
        <f>AVERAGE(L362:N362)</f>
        <v/>
      </c>
      <c r="T362">
        <f>AVERAGE(O362:S362)</f>
        <v/>
      </c>
      <c r="U362">
        <f>MIN(O362:S362)</f>
        <v/>
      </c>
      <c r="V362">
        <f>1-alpha*MAX(0,delta-U362)</f>
        <v/>
      </c>
      <c r="W362">
        <f>T362*V362</f>
        <v/>
      </c>
      <c r="X362">
        <f>1+COUNTIF($W$357:$W$366,"&gt;"&amp;W362)</f>
        <v/>
      </c>
    </row>
    <row r="363">
      <c r="A363" t="inlineStr">
        <is>
          <t>LV</t>
        </is>
      </c>
      <c r="B363">
        <f>IF(B$354=1,Processing_index!$B$12,"")</f>
        <v/>
      </c>
      <c r="C363">
        <f>IF(C$354=1,Processing_index!$C$12,"")</f>
        <v/>
      </c>
      <c r="D363">
        <f>IF(D$354=1,Processing_index!$D$12,"")</f>
        <v/>
      </c>
      <c r="E363">
        <f>IF(E$354=1,Processing_index!$E$12,"")</f>
        <v/>
      </c>
      <c r="F363">
        <f>IF(F$354=1,Processing_index!$F$12,"")</f>
        <v/>
      </c>
      <c r="G363">
        <f>IF(G$354=1,Processing_index!$G$12,"")</f>
        <v/>
      </c>
      <c r="H363">
        <f>IF(H$354=1,Processing_index!$H$12,"")</f>
        <v/>
      </c>
      <c r="I363">
        <f>IF(I$354=1,Processing_index!$I$12,"")</f>
        <v/>
      </c>
      <c r="J363">
        <f>IF(J$354=1,Processing_index!$J$12,"")</f>
        <v/>
      </c>
      <c r="K363">
        <f>IF(K$354=1,Processing_index!$K$12,"")</f>
        <v/>
      </c>
      <c r="L363">
        <f>IF(L$354=1,Processing_index!$L$12,"")</f>
        <v/>
      </c>
      <c r="M363">
        <f>IF(M$354=1,Processing_index!$M$12,"")</f>
        <v/>
      </c>
      <c r="N363">
        <f>IF(N$354=1,Processing_index!$N$12,"")</f>
        <v/>
      </c>
      <c r="O363">
        <f>AVERAGE(B363:D363)</f>
        <v/>
      </c>
      <c r="P363">
        <f>AVERAGE(E363:F363)</f>
        <v/>
      </c>
      <c r="Q363">
        <f>AVERAGE(G363:I363)</f>
        <v/>
      </c>
      <c r="R363">
        <f>AVERAGE(J363:K363)</f>
        <v/>
      </c>
      <c r="S363">
        <f>AVERAGE(L363:N363)</f>
        <v/>
      </c>
      <c r="T363">
        <f>AVERAGE(O363:S363)</f>
        <v/>
      </c>
      <c r="U363">
        <f>MIN(O363:S363)</f>
        <v/>
      </c>
      <c r="V363">
        <f>1-alpha*MAX(0,delta-U363)</f>
        <v/>
      </c>
      <c r="W363">
        <f>T363*V363</f>
        <v/>
      </c>
      <c r="X363">
        <f>1+COUNTIF($W$357:$W$366,"&gt;"&amp;W363)</f>
        <v/>
      </c>
    </row>
    <row r="364">
      <c r="A364" t="inlineStr">
        <is>
          <t>EE</t>
        </is>
      </c>
      <c r="B364">
        <f>IF(B$354=1,Processing_index!$B$13,"")</f>
        <v/>
      </c>
      <c r="C364">
        <f>IF(C$354=1,Processing_index!$C$13,"")</f>
        <v/>
      </c>
      <c r="D364">
        <f>IF(D$354=1,Processing_index!$D$13,"")</f>
        <v/>
      </c>
      <c r="E364">
        <f>IF(E$354=1,Processing_index!$E$13,"")</f>
        <v/>
      </c>
      <c r="F364">
        <f>IF(F$354=1,Processing_index!$F$13,"")</f>
        <v/>
      </c>
      <c r="G364">
        <f>IF(G$354=1,Processing_index!$G$13,"")</f>
        <v/>
      </c>
      <c r="H364">
        <f>IF(H$354=1,Processing_index!$H$13,"")</f>
        <v/>
      </c>
      <c r="I364">
        <f>IF(I$354=1,Processing_index!$I$13,"")</f>
        <v/>
      </c>
      <c r="J364">
        <f>IF(J$354=1,Processing_index!$J$13,"")</f>
        <v/>
      </c>
      <c r="K364">
        <f>IF(K$354=1,Processing_index!$K$13,"")</f>
        <v/>
      </c>
      <c r="L364">
        <f>IF(L$354=1,Processing_index!$L$13,"")</f>
        <v/>
      </c>
      <c r="M364">
        <f>IF(M$354=1,Processing_index!$M$13,"")</f>
        <v/>
      </c>
      <c r="N364">
        <f>IF(N$354=1,Processing_index!$N$13,"")</f>
        <v/>
      </c>
      <c r="O364">
        <f>AVERAGE(B364:D364)</f>
        <v/>
      </c>
      <c r="P364">
        <f>AVERAGE(E364:F364)</f>
        <v/>
      </c>
      <c r="Q364">
        <f>AVERAGE(G364:I364)</f>
        <v/>
      </c>
      <c r="R364">
        <f>AVERAGE(J364:K364)</f>
        <v/>
      </c>
      <c r="S364">
        <f>AVERAGE(L364:N364)</f>
        <v/>
      </c>
      <c r="T364">
        <f>AVERAGE(O364:S364)</f>
        <v/>
      </c>
      <c r="U364">
        <f>MIN(O364:S364)</f>
        <v/>
      </c>
      <c r="V364">
        <f>1-alpha*MAX(0,delta-U364)</f>
        <v/>
      </c>
      <c r="W364">
        <f>T364*V364</f>
        <v/>
      </c>
      <c r="X364">
        <f>1+COUNTIF($W$357:$W$366,"&gt;"&amp;W364)</f>
        <v/>
      </c>
    </row>
    <row r="365">
      <c r="A365" t="inlineStr">
        <is>
          <t>BG</t>
        </is>
      </c>
      <c r="B365">
        <f>IF(B$354=1,Processing_index!$B$14,"")</f>
        <v/>
      </c>
      <c r="C365">
        <f>IF(C$354=1,Processing_index!$C$14,"")</f>
        <v/>
      </c>
      <c r="D365">
        <f>IF(D$354=1,Processing_index!$D$14,"")</f>
        <v/>
      </c>
      <c r="E365">
        <f>IF(E$354=1,Processing_index!$E$14,"")</f>
        <v/>
      </c>
      <c r="F365">
        <f>IF(F$354=1,Processing_index!$F$14,"")</f>
        <v/>
      </c>
      <c r="G365">
        <f>IF(G$354=1,Processing_index!$G$14,"")</f>
        <v/>
      </c>
      <c r="H365">
        <f>IF(H$354=1,Processing_index!$H$14,"")</f>
        <v/>
      </c>
      <c r="I365">
        <f>IF(I$354=1,Processing_index!$I$14,"")</f>
        <v/>
      </c>
      <c r="J365">
        <f>IF(J$354=1,Processing_index!$J$14,"")</f>
        <v/>
      </c>
      <c r="K365">
        <f>IF(K$354=1,Processing_index!$K$14,"")</f>
        <v/>
      </c>
      <c r="L365">
        <f>IF(L$354=1,Processing_index!$L$14,"")</f>
        <v/>
      </c>
      <c r="M365">
        <f>IF(M$354=1,Processing_index!$M$14,"")</f>
        <v/>
      </c>
      <c r="N365">
        <f>IF(N$354=1,Processing_index!$N$14,"")</f>
        <v/>
      </c>
      <c r="O365">
        <f>AVERAGE(B365:D365)</f>
        <v/>
      </c>
      <c r="P365">
        <f>AVERAGE(E365:F365)</f>
        <v/>
      </c>
      <c r="Q365">
        <f>AVERAGE(G365:I365)</f>
        <v/>
      </c>
      <c r="R365">
        <f>AVERAGE(J365:K365)</f>
        <v/>
      </c>
      <c r="S365">
        <f>AVERAGE(L365:N365)</f>
        <v/>
      </c>
      <c r="T365">
        <f>AVERAGE(O365:S365)</f>
        <v/>
      </c>
      <c r="U365">
        <f>MIN(O365:S365)</f>
        <v/>
      </c>
      <c r="V365">
        <f>1-alpha*MAX(0,delta-U365)</f>
        <v/>
      </c>
      <c r="W365">
        <f>T365*V365</f>
        <v/>
      </c>
      <c r="X365">
        <f>1+COUNTIF($W$357:$W$366,"&gt;"&amp;W365)</f>
        <v/>
      </c>
    </row>
    <row r="366">
      <c r="A366" t="inlineStr">
        <is>
          <t>UA</t>
        </is>
      </c>
      <c r="B366">
        <f>IF(B$354=1,Processing_index!$B$15,"")</f>
        <v/>
      </c>
      <c r="C366">
        <f>IF(C$354=1,Processing_index!$C$15,"")</f>
        <v/>
      </c>
      <c r="D366">
        <f>IF(D$354=1,Processing_index!$D$15,"")</f>
        <v/>
      </c>
      <c r="E366">
        <f>IF(E$354=1,Processing_index!$E$15,"")</f>
        <v/>
      </c>
      <c r="F366">
        <f>IF(F$354=1,Processing_index!$F$15,"")</f>
        <v/>
      </c>
      <c r="G366">
        <f>IF(G$354=1,Processing_index!$G$15,"")</f>
        <v/>
      </c>
      <c r="H366">
        <f>IF(H$354=1,Processing_index!$H$15,"")</f>
        <v/>
      </c>
      <c r="I366">
        <f>IF(I$354=1,Processing_index!$I$15,"")</f>
        <v/>
      </c>
      <c r="J366">
        <f>IF(J$354=1,Processing_index!$J$15,"")</f>
        <v/>
      </c>
      <c r="K366">
        <f>IF(K$354=1,Processing_index!$K$15,"")</f>
        <v/>
      </c>
      <c r="L366">
        <f>IF(L$354=1,Processing_index!$L$15,"")</f>
        <v/>
      </c>
      <c r="M366">
        <f>IF(M$354=1,Processing_index!$M$15,"")</f>
        <v/>
      </c>
      <c r="N366">
        <f>IF(N$354=1,Processing_index!$N$15,"")</f>
        <v/>
      </c>
      <c r="O366">
        <f>AVERAGE(B366:D366)</f>
        <v/>
      </c>
      <c r="P366">
        <f>AVERAGE(E366:F366)</f>
        <v/>
      </c>
      <c r="Q366">
        <f>AVERAGE(G366:I366)</f>
        <v/>
      </c>
      <c r="R366">
        <f>AVERAGE(J366:K366)</f>
        <v/>
      </c>
      <c r="S366">
        <f>AVERAGE(L366:N366)</f>
        <v/>
      </c>
      <c r="T366">
        <f>AVERAGE(O366:S366)</f>
        <v/>
      </c>
      <c r="U366">
        <f>MIN(O366:S366)</f>
        <v/>
      </c>
      <c r="V366">
        <f>1-alpha*MAX(0,delta-U366)</f>
        <v/>
      </c>
      <c r="W366">
        <f>T366*V366</f>
        <v/>
      </c>
      <c r="X366">
        <f>1+COUNTIF($W$357:$W$366,"&gt;"&amp;W366)</f>
        <v/>
      </c>
    </row>
    <row r="367">
      <c r="A367" s="3" t="inlineStr">
        <is>
          <t>Spearman with baseline</t>
        </is>
      </c>
      <c r="B367">
        <f>1-6*SUMPRODUCT((Processing_index!$AF$6:$AF$15-$X$357:$X$366)^2)/(10*(10^2-1))</f>
        <v/>
      </c>
    </row>
    <row r="368">
      <c r="A368" s="3" t="inlineStr">
        <is>
          <t>Units whose rank changed</t>
        </is>
      </c>
      <c r="B368">
        <f>SUMPRODUCT(--(Processing_index!$AF$6:$AF$15&lt;&gt;$X$357:$X$366))</f>
        <v/>
      </c>
    </row>
    <row r="371">
      <c r="A371" s="3" t="inlineStr">
        <is>
          <t>Device indicator MOBILE_INTERNET moved from L3 (statement 10, telematics) to L1 (statement 6, digital workplaces of staff)</t>
        </is>
      </c>
    </row>
    <row r="372">
      <c r="A372" s="3" t="inlineStr">
        <is>
          <t>Unit</t>
        </is>
      </c>
      <c r="B372" s="3" t="inlineStr">
        <is>
          <t>C</t>
        </is>
      </c>
      <c r="C372" s="3" t="inlineStr">
        <is>
          <t>L1</t>
        </is>
      </c>
      <c r="D372" s="3" t="inlineStr">
        <is>
          <t>L2</t>
        </is>
      </c>
      <c r="E372" s="3" t="inlineStr">
        <is>
          <t>L3</t>
        </is>
      </c>
      <c r="F372" s="3" t="inlineStr">
        <is>
          <t>L4</t>
        </is>
      </c>
      <c r="G372" s="3" t="inlineStr">
        <is>
          <t>ADMI_base</t>
        </is>
      </c>
      <c r="H372" s="3" t="inlineStr">
        <is>
          <t>DM_min</t>
        </is>
      </c>
      <c r="I372" s="3" t="inlineStr">
        <is>
          <t>Weakest layer</t>
        </is>
      </c>
      <c r="J372" s="3" t="inlineStr">
        <is>
          <t>Penalty</t>
        </is>
      </c>
      <c r="K372" s="3" t="inlineStr">
        <is>
          <t>ADMI</t>
        </is>
      </c>
      <c r="L372" s="3" t="inlineStr">
        <is>
          <t>Level</t>
        </is>
      </c>
      <c r="M372" s="3" t="inlineStr">
        <is>
          <t>Rank</t>
        </is>
      </c>
      <c r="N372" s="3" t="inlineStr">
        <is>
          <t>Baseline level</t>
        </is>
      </c>
      <c r="O372" s="3" t="inlineStr">
        <is>
          <t>Baseline weakest layer</t>
        </is>
      </c>
    </row>
    <row r="373">
      <c r="A373" t="inlineStr">
        <is>
          <t>EU27_2020</t>
        </is>
      </c>
      <c r="B373">
        <f>AVERAGE(Processing_index!$B$4,Processing_index!$C$4,Processing_index!$D$4)</f>
        <v/>
      </c>
      <c r="C373">
        <f>AVERAGE(Processing_index!$E$4,Processing_index!$F$4,Processing_index!$J$4)</f>
        <v/>
      </c>
      <c r="D373">
        <f>AVERAGE(Processing_index!$G$4,Processing_index!$H$4,Processing_index!$I$4)</f>
        <v/>
      </c>
      <c r="E373">
        <f>AVERAGE(Processing_index!$K$4)</f>
        <v/>
      </c>
      <c r="F373">
        <f>AVERAGE(Processing_index!$L$4,Processing_index!$M$4,Processing_index!$N$4)</f>
        <v/>
      </c>
      <c r="G373">
        <f>AVERAGE(B373:F373)</f>
        <v/>
      </c>
      <c r="H373">
        <f>MIN(B373:F373)</f>
        <v/>
      </c>
      <c r="I373">
        <f>INDEX($B$372:$F$372,MATCH(H373,B373:F373,0))</f>
        <v/>
      </c>
      <c r="J373">
        <f>1-alpha*MAX(0,delta-H373)</f>
        <v/>
      </c>
      <c r="K373">
        <f>G373*J373</f>
        <v/>
      </c>
      <c r="L373">
        <f>1+COUNTIF(bounds,"&lt;"&amp;ROUND(K373,12))</f>
        <v/>
      </c>
      <c r="N373">
        <f>Processing_index!$AE$4</f>
        <v/>
      </c>
      <c r="O373">
        <f>Processing_index!$AB$4</f>
        <v/>
      </c>
    </row>
    <row r="374">
      <c r="A374" t="inlineStr">
        <is>
          <t>DE</t>
        </is>
      </c>
      <c r="B374">
        <f>AVERAGE(Processing_index!$B$5,Processing_index!$C$5,Processing_index!$D$5)</f>
        <v/>
      </c>
      <c r="C374">
        <f>AVERAGE(Processing_index!$E$5,Processing_index!$F$5,Processing_index!$J$5)</f>
        <v/>
      </c>
      <c r="D374">
        <f>AVERAGE(Processing_index!$G$5,Processing_index!$H$5,Processing_index!$I$5)</f>
        <v/>
      </c>
      <c r="E374">
        <f>AVERAGE(Processing_index!$K$5)</f>
        <v/>
      </c>
      <c r="F374">
        <f>AVERAGE(Processing_index!$L$5,Processing_index!$M$5,Processing_index!$N$5)</f>
        <v/>
      </c>
      <c r="G374">
        <f>AVERAGE(B374:F374)</f>
        <v/>
      </c>
      <c r="H374">
        <f>MIN(B374:F374)</f>
        <v/>
      </c>
      <c r="I374">
        <f>INDEX($B$372:$F$372,MATCH(H374,B374:F374,0))</f>
        <v/>
      </c>
      <c r="J374">
        <f>1-alpha*MAX(0,delta-H374)</f>
        <v/>
      </c>
      <c r="K374">
        <f>G374*J374</f>
        <v/>
      </c>
      <c r="L374">
        <f>1+COUNTIF(bounds,"&lt;"&amp;ROUND(K374,12))</f>
        <v/>
      </c>
      <c r="N374">
        <f>Processing_index!$AE$5</f>
        <v/>
      </c>
      <c r="O374">
        <f>Processing_index!$AB$5</f>
        <v/>
      </c>
    </row>
    <row r="375">
      <c r="A375" t="inlineStr">
        <is>
          <t>PL</t>
        </is>
      </c>
      <c r="B375">
        <f>AVERAGE(Processing_index!$B$6,Processing_index!$C$6,Processing_index!$D$6)</f>
        <v/>
      </c>
      <c r="C375">
        <f>AVERAGE(Processing_index!$E$6,Processing_index!$F$6,Processing_index!$J$6)</f>
        <v/>
      </c>
      <c r="D375">
        <f>AVERAGE(Processing_index!$G$6,Processing_index!$H$6,Processing_index!$I$6)</f>
        <v/>
      </c>
      <c r="E375">
        <f>AVERAGE(Processing_index!$K$6)</f>
        <v/>
      </c>
      <c r="F375">
        <f>AVERAGE(Processing_index!$L$6,Processing_index!$M$6,Processing_index!$N$6)</f>
        <v/>
      </c>
      <c r="G375">
        <f>AVERAGE(B375:F375)</f>
        <v/>
      </c>
      <c r="H375">
        <f>MIN(B375:F375)</f>
        <v/>
      </c>
      <c r="I375">
        <f>INDEX($B$372:$F$372,MATCH(H375,B375:F375,0))</f>
        <v/>
      </c>
      <c r="J375">
        <f>1-alpha*MAX(0,delta-H375)</f>
        <v/>
      </c>
      <c r="K375">
        <f>G375*J375</f>
        <v/>
      </c>
      <c r="L375">
        <f>1+COUNTIF(bounds,"&lt;"&amp;ROUND(K375,12))</f>
        <v/>
      </c>
      <c r="M375">
        <f>1+COUNTIF($K$375:$K$384,"&gt;"&amp;K375)</f>
        <v/>
      </c>
      <c r="N375">
        <f>Processing_index!$AE$6</f>
        <v/>
      </c>
      <c r="O375">
        <f>Processing_index!$AB$6</f>
        <v/>
      </c>
    </row>
    <row r="376">
      <c r="A376" t="inlineStr">
        <is>
          <t>HU</t>
        </is>
      </c>
      <c r="B376">
        <f>AVERAGE(Processing_index!$B$7,Processing_index!$C$7,Processing_index!$D$7)</f>
        <v/>
      </c>
      <c r="C376">
        <f>AVERAGE(Processing_index!$E$7,Processing_index!$F$7,Processing_index!$J$7)</f>
        <v/>
      </c>
      <c r="D376">
        <f>AVERAGE(Processing_index!$G$7,Processing_index!$H$7,Processing_index!$I$7)</f>
        <v/>
      </c>
      <c r="E376">
        <f>AVERAGE(Processing_index!$K$7)</f>
        <v/>
      </c>
      <c r="F376">
        <f>AVERAGE(Processing_index!$L$7,Processing_index!$M$7,Processing_index!$N$7)</f>
        <v/>
      </c>
      <c r="G376">
        <f>AVERAGE(B376:F376)</f>
        <v/>
      </c>
      <c r="H376">
        <f>MIN(B376:F376)</f>
        <v/>
      </c>
      <c r="I376">
        <f>INDEX($B$372:$F$372,MATCH(H376,B376:F376,0))</f>
        <v/>
      </c>
      <c r="J376">
        <f>1-alpha*MAX(0,delta-H376)</f>
        <v/>
      </c>
      <c r="K376">
        <f>G376*J376</f>
        <v/>
      </c>
      <c r="L376">
        <f>1+COUNTIF(bounds,"&lt;"&amp;ROUND(K376,12))</f>
        <v/>
      </c>
      <c r="M376">
        <f>1+COUNTIF($K$375:$K$384,"&gt;"&amp;K376)</f>
        <v/>
      </c>
      <c r="N376">
        <f>Processing_index!$AE$7</f>
        <v/>
      </c>
      <c r="O376">
        <f>Processing_index!$AB$7</f>
        <v/>
      </c>
    </row>
    <row r="377">
      <c r="A377" t="inlineStr">
        <is>
          <t>RO</t>
        </is>
      </c>
      <c r="B377">
        <f>AVERAGE(Processing_index!$B$8,Processing_index!$C$8,Processing_index!$D$8)</f>
        <v/>
      </c>
      <c r="C377">
        <f>AVERAGE(Processing_index!$E$8,Processing_index!$F$8,Processing_index!$J$8)</f>
        <v/>
      </c>
      <c r="D377">
        <f>AVERAGE(Processing_index!$G$8,Processing_index!$H$8,Processing_index!$I$8)</f>
        <v/>
      </c>
      <c r="E377">
        <f>AVERAGE(Processing_index!$K$8)</f>
        <v/>
      </c>
      <c r="F377">
        <f>AVERAGE(Processing_index!$L$8,Processing_index!$M$8,Processing_index!$N$8)</f>
        <v/>
      </c>
      <c r="G377">
        <f>AVERAGE(B377:F377)</f>
        <v/>
      </c>
      <c r="H377">
        <f>MIN(B377:F377)</f>
        <v/>
      </c>
      <c r="I377">
        <f>INDEX($B$372:$F$372,MATCH(H377,B377:F377,0))</f>
        <v/>
      </c>
      <c r="J377">
        <f>1-alpha*MAX(0,delta-H377)</f>
        <v/>
      </c>
      <c r="K377">
        <f>G377*J377</f>
        <v/>
      </c>
      <c r="L377">
        <f>1+COUNTIF(bounds,"&lt;"&amp;ROUND(K377,12))</f>
        <v/>
      </c>
      <c r="M377">
        <f>1+COUNTIF($K$375:$K$384,"&gt;"&amp;K377)</f>
        <v/>
      </c>
      <c r="N377">
        <f>Processing_index!$AE$8</f>
        <v/>
      </c>
      <c r="O377">
        <f>Processing_index!$AB$8</f>
        <v/>
      </c>
    </row>
    <row r="378">
      <c r="A378" t="inlineStr">
        <is>
          <t>CZ</t>
        </is>
      </c>
      <c r="B378">
        <f>AVERAGE(Processing_index!$B$9,Processing_index!$C$9,Processing_index!$D$9)</f>
        <v/>
      </c>
      <c r="C378">
        <f>AVERAGE(Processing_index!$E$9,Processing_index!$F$9,Processing_index!$J$9)</f>
        <v/>
      </c>
      <c r="D378">
        <f>AVERAGE(Processing_index!$G$9,Processing_index!$H$9,Processing_index!$I$9)</f>
        <v/>
      </c>
      <c r="E378">
        <f>AVERAGE(Processing_index!$K$9)</f>
        <v/>
      </c>
      <c r="F378">
        <f>AVERAGE(Processing_index!$L$9,Processing_index!$M$9,Processing_index!$N$9)</f>
        <v/>
      </c>
      <c r="G378">
        <f>AVERAGE(B378:F378)</f>
        <v/>
      </c>
      <c r="H378">
        <f>MIN(B378:F378)</f>
        <v/>
      </c>
      <c r="I378">
        <f>INDEX($B$372:$F$372,MATCH(H378,B378:F378,0))</f>
        <v/>
      </c>
      <c r="J378">
        <f>1-alpha*MAX(0,delta-H378)</f>
        <v/>
      </c>
      <c r="K378">
        <f>G378*J378</f>
        <v/>
      </c>
      <c r="L378">
        <f>1+COUNTIF(bounds,"&lt;"&amp;ROUND(K378,12))</f>
        <v/>
      </c>
      <c r="M378">
        <f>1+COUNTIF($K$375:$K$384,"&gt;"&amp;K378)</f>
        <v/>
      </c>
      <c r="N378">
        <f>Processing_index!$AE$9</f>
        <v/>
      </c>
      <c r="O378">
        <f>Processing_index!$AB$9</f>
        <v/>
      </c>
    </row>
    <row r="379">
      <c r="A379" t="inlineStr">
        <is>
          <t>SK</t>
        </is>
      </c>
      <c r="B379">
        <f>AVERAGE(Processing_index!$B$10,Processing_index!$C$10,Processing_index!$D$10)</f>
        <v/>
      </c>
      <c r="C379">
        <f>AVERAGE(Processing_index!$E$10,Processing_index!$F$10,Processing_index!$J$10)</f>
        <v/>
      </c>
      <c r="D379">
        <f>AVERAGE(Processing_index!$G$10,Processing_index!$H$10,Processing_index!$I$10)</f>
        <v/>
      </c>
      <c r="E379">
        <f>AVERAGE(Processing_index!$K$10)</f>
        <v/>
      </c>
      <c r="F379">
        <f>AVERAGE(Processing_index!$L$10,Processing_index!$M$10,Processing_index!$N$10)</f>
        <v/>
      </c>
      <c r="G379">
        <f>AVERAGE(B379:F379)</f>
        <v/>
      </c>
      <c r="H379">
        <f>MIN(B379:F379)</f>
        <v/>
      </c>
      <c r="I379">
        <f>INDEX($B$372:$F$372,MATCH(H379,B379:F379,0))</f>
        <v/>
      </c>
      <c r="J379">
        <f>1-alpha*MAX(0,delta-H379)</f>
        <v/>
      </c>
      <c r="K379">
        <f>G379*J379</f>
        <v/>
      </c>
      <c r="L379">
        <f>1+COUNTIF(bounds,"&lt;"&amp;ROUND(K379,12))</f>
        <v/>
      </c>
      <c r="M379">
        <f>1+COUNTIF($K$375:$K$384,"&gt;"&amp;K379)</f>
        <v/>
      </c>
      <c r="N379">
        <f>Processing_index!$AE$10</f>
        <v/>
      </c>
      <c r="O379">
        <f>Processing_index!$AB$10</f>
        <v/>
      </c>
    </row>
    <row r="380">
      <c r="A380" t="inlineStr">
        <is>
          <t>LT</t>
        </is>
      </c>
      <c r="B380">
        <f>AVERAGE(Processing_index!$B$11,Processing_index!$C$11,Processing_index!$D$11)</f>
        <v/>
      </c>
      <c r="C380">
        <f>AVERAGE(Processing_index!$E$11,Processing_index!$F$11,Processing_index!$J$11)</f>
        <v/>
      </c>
      <c r="D380">
        <f>AVERAGE(Processing_index!$G$11,Processing_index!$H$11,Processing_index!$I$11)</f>
        <v/>
      </c>
      <c r="E380">
        <f>AVERAGE(Processing_index!$K$11)</f>
        <v/>
      </c>
      <c r="F380">
        <f>AVERAGE(Processing_index!$L$11,Processing_index!$M$11,Processing_index!$N$11)</f>
        <v/>
      </c>
      <c r="G380">
        <f>AVERAGE(B380:F380)</f>
        <v/>
      </c>
      <c r="H380">
        <f>MIN(B380:F380)</f>
        <v/>
      </c>
      <c r="I380">
        <f>INDEX($B$372:$F$372,MATCH(H380,B380:F380,0))</f>
        <v/>
      </c>
      <c r="J380">
        <f>1-alpha*MAX(0,delta-H380)</f>
        <v/>
      </c>
      <c r="K380">
        <f>G380*J380</f>
        <v/>
      </c>
      <c r="L380">
        <f>1+COUNTIF(bounds,"&lt;"&amp;ROUND(K380,12))</f>
        <v/>
      </c>
      <c r="M380">
        <f>1+COUNTIF($K$375:$K$384,"&gt;"&amp;K380)</f>
        <v/>
      </c>
      <c r="N380">
        <f>Processing_index!$AE$11</f>
        <v/>
      </c>
      <c r="O380">
        <f>Processing_index!$AB$11</f>
        <v/>
      </c>
    </row>
    <row r="381">
      <c r="A381" t="inlineStr">
        <is>
          <t>LV</t>
        </is>
      </c>
      <c r="B381">
        <f>AVERAGE(Processing_index!$B$12,Processing_index!$C$12,Processing_index!$D$12)</f>
        <v/>
      </c>
      <c r="C381">
        <f>AVERAGE(Processing_index!$E$12,Processing_index!$F$12,Processing_index!$J$12)</f>
        <v/>
      </c>
      <c r="D381">
        <f>AVERAGE(Processing_index!$G$12,Processing_index!$H$12,Processing_index!$I$12)</f>
        <v/>
      </c>
      <c r="E381">
        <f>AVERAGE(Processing_index!$K$12)</f>
        <v/>
      </c>
      <c r="F381">
        <f>AVERAGE(Processing_index!$L$12,Processing_index!$M$12,Processing_index!$N$12)</f>
        <v/>
      </c>
      <c r="G381">
        <f>AVERAGE(B381:F381)</f>
        <v/>
      </c>
      <c r="H381">
        <f>MIN(B381:F381)</f>
        <v/>
      </c>
      <c r="I381">
        <f>INDEX($B$372:$F$372,MATCH(H381,B381:F381,0))</f>
        <v/>
      </c>
      <c r="J381">
        <f>1-alpha*MAX(0,delta-H381)</f>
        <v/>
      </c>
      <c r="K381">
        <f>G381*J381</f>
        <v/>
      </c>
      <c r="L381">
        <f>1+COUNTIF(bounds,"&lt;"&amp;ROUND(K381,12))</f>
        <v/>
      </c>
      <c r="M381">
        <f>1+COUNTIF($K$375:$K$384,"&gt;"&amp;K381)</f>
        <v/>
      </c>
      <c r="N381">
        <f>Processing_index!$AE$12</f>
        <v/>
      </c>
      <c r="O381">
        <f>Processing_index!$AB$12</f>
        <v/>
      </c>
    </row>
    <row r="382">
      <c r="A382" t="inlineStr">
        <is>
          <t>EE</t>
        </is>
      </c>
      <c r="B382">
        <f>AVERAGE(Processing_index!$B$13,Processing_index!$C$13,Processing_index!$D$13)</f>
        <v/>
      </c>
      <c r="C382">
        <f>AVERAGE(Processing_index!$E$13,Processing_index!$F$13,Processing_index!$J$13)</f>
        <v/>
      </c>
      <c r="D382">
        <f>AVERAGE(Processing_index!$G$13,Processing_index!$H$13,Processing_index!$I$13)</f>
        <v/>
      </c>
      <c r="E382">
        <f>AVERAGE(Processing_index!$K$13)</f>
        <v/>
      </c>
      <c r="F382">
        <f>AVERAGE(Processing_index!$L$13,Processing_index!$M$13,Processing_index!$N$13)</f>
        <v/>
      </c>
      <c r="G382">
        <f>AVERAGE(B382:F382)</f>
        <v/>
      </c>
      <c r="H382">
        <f>MIN(B382:F382)</f>
        <v/>
      </c>
      <c r="I382">
        <f>INDEX($B$372:$F$372,MATCH(H382,B382:F382,0))</f>
        <v/>
      </c>
      <c r="J382">
        <f>1-alpha*MAX(0,delta-H382)</f>
        <v/>
      </c>
      <c r="K382">
        <f>G382*J382</f>
        <v/>
      </c>
      <c r="L382">
        <f>1+COUNTIF(bounds,"&lt;"&amp;ROUND(K382,12))</f>
        <v/>
      </c>
      <c r="M382">
        <f>1+COUNTIF($K$375:$K$384,"&gt;"&amp;K382)</f>
        <v/>
      </c>
      <c r="N382">
        <f>Processing_index!$AE$13</f>
        <v/>
      </c>
      <c r="O382">
        <f>Processing_index!$AB$13</f>
        <v/>
      </c>
    </row>
    <row r="383">
      <c r="A383" t="inlineStr">
        <is>
          <t>BG</t>
        </is>
      </c>
      <c r="B383">
        <f>AVERAGE(Processing_index!$B$14,Processing_index!$C$14,Processing_index!$D$14)</f>
        <v/>
      </c>
      <c r="C383">
        <f>AVERAGE(Processing_index!$E$14,Processing_index!$F$14,Processing_index!$J$14)</f>
        <v/>
      </c>
      <c r="D383">
        <f>AVERAGE(Processing_index!$G$14,Processing_index!$H$14,Processing_index!$I$14)</f>
        <v/>
      </c>
      <c r="E383">
        <f>AVERAGE(Processing_index!$K$14)</f>
        <v/>
      </c>
      <c r="F383">
        <f>AVERAGE(Processing_index!$L$14,Processing_index!$M$14,Processing_index!$N$14)</f>
        <v/>
      </c>
      <c r="G383">
        <f>AVERAGE(B383:F383)</f>
        <v/>
      </c>
      <c r="H383">
        <f>MIN(B383:F383)</f>
        <v/>
      </c>
      <c r="I383">
        <f>INDEX($B$372:$F$372,MATCH(H383,B383:F383,0))</f>
        <v/>
      </c>
      <c r="J383">
        <f>1-alpha*MAX(0,delta-H383)</f>
        <v/>
      </c>
      <c r="K383">
        <f>G383*J383</f>
        <v/>
      </c>
      <c r="L383">
        <f>1+COUNTIF(bounds,"&lt;"&amp;ROUND(K383,12))</f>
        <v/>
      </c>
      <c r="M383">
        <f>1+COUNTIF($K$375:$K$384,"&gt;"&amp;K383)</f>
        <v/>
      </c>
      <c r="N383">
        <f>Processing_index!$AE$14</f>
        <v/>
      </c>
      <c r="O383">
        <f>Processing_index!$AB$14</f>
        <v/>
      </c>
    </row>
    <row r="384">
      <c r="A384" t="inlineStr">
        <is>
          <t>UA</t>
        </is>
      </c>
      <c r="B384">
        <f>AVERAGE(Processing_index!$B$15,Processing_index!$C$15,Processing_index!$D$15)</f>
        <v/>
      </c>
      <c r="C384">
        <f>AVERAGE(Processing_index!$E$15,Processing_index!$F$15,Processing_index!$J$15)</f>
        <v/>
      </c>
      <c r="D384">
        <f>AVERAGE(Processing_index!$G$15,Processing_index!$H$15,Processing_index!$I$15)</f>
        <v/>
      </c>
      <c r="E384">
        <f>AVERAGE(Processing_index!$K$15)</f>
        <v/>
      </c>
      <c r="F384">
        <f>AVERAGE(Processing_index!$L$15,Processing_index!$M$15,Processing_index!$N$15)</f>
        <v/>
      </c>
      <c r="G384">
        <f>AVERAGE(B384:F384)</f>
        <v/>
      </c>
      <c r="H384">
        <f>MIN(B384:F384)</f>
        <v/>
      </c>
      <c r="I384">
        <f>INDEX($B$372:$F$372,MATCH(H384,B384:F384,0))</f>
        <v/>
      </c>
      <c r="J384">
        <f>1-alpha*MAX(0,delta-H384)</f>
        <v/>
      </c>
      <c r="K384">
        <f>G384*J384</f>
        <v/>
      </c>
      <c r="L384">
        <f>1+COUNTIF(bounds,"&lt;"&amp;ROUND(K384,12))</f>
        <v/>
      </c>
      <c r="M384">
        <f>1+COUNTIF($K$375:$K$384,"&gt;"&amp;K384)</f>
        <v/>
      </c>
      <c r="N384">
        <f>Processing_index!$AE$15</f>
        <v/>
      </c>
      <c r="O384">
        <f>Processing_index!$AB$15</f>
        <v/>
      </c>
    </row>
    <row r="385">
      <c r="A385" s="3" t="inlineStr">
        <is>
          <t>Spearman with baseline</t>
        </is>
      </c>
      <c r="B385">
        <f>1-6*SUMPRODUCT((Processing_index!$AF$6:$AF$15-$M$375:$M$384)^2)/(10*(10^2-1))</f>
        <v/>
      </c>
    </row>
    <row r="386">
      <c r="A386" s="3" t="inlineStr">
        <is>
          <t>Units whose rank changed</t>
        </is>
      </c>
      <c r="B386">
        <f>SUMPRODUCT(--(Processing_index!$AF$6:$AF$15&lt;&gt;$M$375:$M$384))</f>
        <v/>
      </c>
    </row>
    <row r="387">
      <c r="A387" s="3" t="inlineStr">
        <is>
          <t>Units whose level changed (of 12)</t>
        </is>
      </c>
      <c r="B387">
        <f>SUMPRODUCT(--($L$373:$L$384&lt;&gt;$N$373:$N$384))</f>
        <v/>
      </c>
    </row>
    <row r="388">
      <c r="A388" s="3" t="inlineStr">
        <is>
          <t>Penalised units (of 12)</t>
        </is>
      </c>
      <c r="B388">
        <f>COUNTIF($H$373:$H$384,"&lt;"&amp;delta)</f>
        <v/>
      </c>
    </row>
    <row r="389">
      <c r="A389" s="3" t="inlineStr">
        <is>
          <t>Units with L1 as the weakest layer (of 12)</t>
        </is>
      </c>
      <c r="B389">
        <f>COUNTIF($I$373:$I$384,"L1")</f>
        <v/>
      </c>
    </row>
    <row r="390">
      <c r="A390" s="3" t="inlineStr">
        <is>
          <t>Same, baseline</t>
        </is>
      </c>
      <c r="B390">
        <f>COUNTIF($O$373:$O$384,"L1")</f>
        <v/>
      </c>
    </row>
    <row r="393">
      <c r="A393" s="3" t="inlineStr">
        <is>
          <t>TOPSIS on the moved layers, entropy weights</t>
        </is>
      </c>
    </row>
    <row r="394">
      <c r="A394" s="3" t="inlineStr">
        <is>
          <t>Vector norm</t>
        </is>
      </c>
      <c r="B394">
        <f>SQRT(SUMPRODUCT($B$375:$B$384,$B$375:$B$384))</f>
        <v/>
      </c>
      <c r="C394">
        <f>SQRT(SUMPRODUCT($C$375:$C$384,$C$375:$C$384))</f>
        <v/>
      </c>
      <c r="D394">
        <f>SQRT(SUMPRODUCT($D$375:$D$384,$D$375:$D$384))</f>
        <v/>
      </c>
      <c r="E394">
        <f>SQRT(SUMPRODUCT($E$375:$E$384,$E$375:$E$384))</f>
        <v/>
      </c>
      <c r="F394">
        <f>SQRT(SUMPRODUCT($F$375:$F$384,$F$375:$F$384))</f>
        <v/>
      </c>
    </row>
    <row r="395">
      <c r="A395" s="3" t="inlineStr">
        <is>
          <t>Entropy</t>
        </is>
      </c>
      <c r="B395">
        <f>-SUMPRODUCT($B$375:$B$384/SUM($B$375:$B$384)*LN($B$375:$B$384/SUM($B$375:$B$384)))/LN(10)</f>
        <v/>
      </c>
      <c r="C395">
        <f>-SUMPRODUCT($C$375:$C$384/SUM($C$375:$C$384)*LN($C$375:$C$384/SUM($C$375:$C$384)))/LN(10)</f>
        <v/>
      </c>
      <c r="D395">
        <f>-SUMPRODUCT($D$375:$D$384/SUM($D$375:$D$384)*LN($D$375:$D$384/SUM($D$375:$D$384)))/LN(10)</f>
        <v/>
      </c>
      <c r="E395">
        <f>-SUMPRODUCT($E$375:$E$384/SUM($E$375:$E$384)*LN($E$375:$E$384/SUM($E$375:$E$384)))/LN(10)</f>
        <v/>
      </c>
      <c r="F395">
        <f>-SUMPRODUCT($F$375:$F$384/SUM($F$375:$F$384)*LN($F$375:$F$384/SUM($F$375:$F$384)))/LN(10)</f>
        <v/>
      </c>
    </row>
    <row r="396">
      <c r="A396" s="3" t="inlineStr">
        <is>
          <t>Entropy weight</t>
        </is>
      </c>
      <c r="B396">
        <f>(1-B395)/(5-SUM($B$395:$F$395))</f>
        <v/>
      </c>
      <c r="C396">
        <f>(1-C395)/(5-SUM($B$395:$F$395))</f>
        <v/>
      </c>
      <c r="D396">
        <f>(1-D395)/(5-SUM($B$395:$F$395))</f>
        <v/>
      </c>
      <c r="E396">
        <f>(1-E395)/(5-SUM($B$395:$F$395))</f>
        <v/>
      </c>
      <c r="F396">
        <f>(1-F395)/(5-SUM($B$395:$F$395))</f>
        <v/>
      </c>
    </row>
    <row r="398">
      <c r="A398" s="3" t="inlineStr">
        <is>
          <t>Unit</t>
        </is>
      </c>
      <c r="B398" s="3" t="inlineStr">
        <is>
          <t>C</t>
        </is>
      </c>
      <c r="C398" s="3" t="inlineStr">
        <is>
          <t>L1</t>
        </is>
      </c>
      <c r="D398" s="3" t="inlineStr">
        <is>
          <t>L2</t>
        </is>
      </c>
      <c r="E398" s="3" t="inlineStr">
        <is>
          <t>L3</t>
        </is>
      </c>
      <c r="F398" s="3" t="inlineStr">
        <is>
          <t>L4</t>
        </is>
      </c>
      <c r="G398" s="3" t="inlineStr">
        <is>
          <t>Distance to ideal</t>
        </is>
      </c>
      <c r="H398" s="3" t="inlineStr">
        <is>
          <t>Distance to anti-ideal</t>
        </is>
      </c>
      <c r="I398" s="3" t="inlineStr">
        <is>
          <t>Closeness</t>
        </is>
      </c>
      <c r="J398" s="3" t="inlineStr">
        <is>
          <t>Rank</t>
        </is>
      </c>
    </row>
    <row r="399">
      <c r="A399" t="inlineStr">
        <is>
          <t>PL</t>
        </is>
      </c>
      <c r="B399">
        <f>B$396*B375/B$394</f>
        <v/>
      </c>
      <c r="C399">
        <f>C$396*C375/C$394</f>
        <v/>
      </c>
      <c r="D399">
        <f>D$396*D375/D$394</f>
        <v/>
      </c>
      <c r="E399">
        <f>E$396*E375/E$394</f>
        <v/>
      </c>
      <c r="F399">
        <f>F$396*F375/F$394</f>
        <v/>
      </c>
      <c r="G399">
        <f>SQRT(SUMPRODUCT((B399:F399-$B$409:$F$409)^2))</f>
        <v/>
      </c>
      <c r="H399">
        <f>SQRT(SUMPRODUCT((B399:F399-$B$410:$F$410)^2))</f>
        <v/>
      </c>
      <c r="I399">
        <f>H399/(G399+H399)</f>
        <v/>
      </c>
      <c r="J399">
        <f>1+COUNTIF($I$399:$I$408,"&gt;"&amp;I399)</f>
        <v/>
      </c>
    </row>
    <row r="400">
      <c r="A400" t="inlineStr">
        <is>
          <t>HU</t>
        </is>
      </c>
      <c r="B400">
        <f>B$396*B376/B$394</f>
        <v/>
      </c>
      <c r="C400">
        <f>C$396*C376/C$394</f>
        <v/>
      </c>
      <c r="D400">
        <f>D$396*D376/D$394</f>
        <v/>
      </c>
      <c r="E400">
        <f>E$396*E376/E$394</f>
        <v/>
      </c>
      <c r="F400">
        <f>F$396*F376/F$394</f>
        <v/>
      </c>
      <c r="G400">
        <f>SQRT(SUMPRODUCT((B400:F400-$B$409:$F$409)^2))</f>
        <v/>
      </c>
      <c r="H400">
        <f>SQRT(SUMPRODUCT((B400:F400-$B$410:$F$410)^2))</f>
        <v/>
      </c>
      <c r="I400">
        <f>H400/(G400+H400)</f>
        <v/>
      </c>
      <c r="J400">
        <f>1+COUNTIF($I$399:$I$408,"&gt;"&amp;I400)</f>
        <v/>
      </c>
    </row>
    <row r="401">
      <c r="A401" t="inlineStr">
        <is>
          <t>RO</t>
        </is>
      </c>
      <c r="B401">
        <f>B$396*B377/B$394</f>
        <v/>
      </c>
      <c r="C401">
        <f>C$396*C377/C$394</f>
        <v/>
      </c>
      <c r="D401">
        <f>D$396*D377/D$394</f>
        <v/>
      </c>
      <c r="E401">
        <f>E$396*E377/E$394</f>
        <v/>
      </c>
      <c r="F401">
        <f>F$396*F377/F$394</f>
        <v/>
      </c>
      <c r="G401">
        <f>SQRT(SUMPRODUCT((B401:F401-$B$409:$F$409)^2))</f>
        <v/>
      </c>
      <c r="H401">
        <f>SQRT(SUMPRODUCT((B401:F401-$B$410:$F$410)^2))</f>
        <v/>
      </c>
      <c r="I401">
        <f>H401/(G401+H401)</f>
        <v/>
      </c>
      <c r="J401">
        <f>1+COUNTIF($I$399:$I$408,"&gt;"&amp;I401)</f>
        <v/>
      </c>
    </row>
    <row r="402">
      <c r="A402" t="inlineStr">
        <is>
          <t>CZ</t>
        </is>
      </c>
      <c r="B402">
        <f>B$396*B378/B$394</f>
        <v/>
      </c>
      <c r="C402">
        <f>C$396*C378/C$394</f>
        <v/>
      </c>
      <c r="D402">
        <f>D$396*D378/D$394</f>
        <v/>
      </c>
      <c r="E402">
        <f>E$396*E378/E$394</f>
        <v/>
      </c>
      <c r="F402">
        <f>F$396*F378/F$394</f>
        <v/>
      </c>
      <c r="G402">
        <f>SQRT(SUMPRODUCT((B402:F402-$B$409:$F$409)^2))</f>
        <v/>
      </c>
      <c r="H402">
        <f>SQRT(SUMPRODUCT((B402:F402-$B$410:$F$410)^2))</f>
        <v/>
      </c>
      <c r="I402">
        <f>H402/(G402+H402)</f>
        <v/>
      </c>
      <c r="J402">
        <f>1+COUNTIF($I$399:$I$408,"&gt;"&amp;I402)</f>
        <v/>
      </c>
    </row>
    <row r="403">
      <c r="A403" t="inlineStr">
        <is>
          <t>SK</t>
        </is>
      </c>
      <c r="B403">
        <f>B$396*B379/B$394</f>
        <v/>
      </c>
      <c r="C403">
        <f>C$396*C379/C$394</f>
        <v/>
      </c>
      <c r="D403">
        <f>D$396*D379/D$394</f>
        <v/>
      </c>
      <c r="E403">
        <f>E$396*E379/E$394</f>
        <v/>
      </c>
      <c r="F403">
        <f>F$396*F379/F$394</f>
        <v/>
      </c>
      <c r="G403">
        <f>SQRT(SUMPRODUCT((B403:F403-$B$409:$F$409)^2))</f>
        <v/>
      </c>
      <c r="H403">
        <f>SQRT(SUMPRODUCT((B403:F403-$B$410:$F$410)^2))</f>
        <v/>
      </c>
      <c r="I403">
        <f>H403/(G403+H403)</f>
        <v/>
      </c>
      <c r="J403">
        <f>1+COUNTIF($I$399:$I$408,"&gt;"&amp;I403)</f>
        <v/>
      </c>
    </row>
    <row r="404">
      <c r="A404" t="inlineStr">
        <is>
          <t>LT</t>
        </is>
      </c>
      <c r="B404">
        <f>B$396*B380/B$394</f>
        <v/>
      </c>
      <c r="C404">
        <f>C$396*C380/C$394</f>
        <v/>
      </c>
      <c r="D404">
        <f>D$396*D380/D$394</f>
        <v/>
      </c>
      <c r="E404">
        <f>E$396*E380/E$394</f>
        <v/>
      </c>
      <c r="F404">
        <f>F$396*F380/F$394</f>
        <v/>
      </c>
      <c r="G404">
        <f>SQRT(SUMPRODUCT((B404:F404-$B$409:$F$409)^2))</f>
        <v/>
      </c>
      <c r="H404">
        <f>SQRT(SUMPRODUCT((B404:F404-$B$410:$F$410)^2))</f>
        <v/>
      </c>
      <c r="I404">
        <f>H404/(G404+H404)</f>
        <v/>
      </c>
      <c r="J404">
        <f>1+COUNTIF($I$399:$I$408,"&gt;"&amp;I404)</f>
        <v/>
      </c>
    </row>
    <row r="405">
      <c r="A405" t="inlineStr">
        <is>
          <t>LV</t>
        </is>
      </c>
      <c r="B405">
        <f>B$396*B381/B$394</f>
        <v/>
      </c>
      <c r="C405">
        <f>C$396*C381/C$394</f>
        <v/>
      </c>
      <c r="D405">
        <f>D$396*D381/D$394</f>
        <v/>
      </c>
      <c r="E405">
        <f>E$396*E381/E$394</f>
        <v/>
      </c>
      <c r="F405">
        <f>F$396*F381/F$394</f>
        <v/>
      </c>
      <c r="G405">
        <f>SQRT(SUMPRODUCT((B405:F405-$B$409:$F$409)^2))</f>
        <v/>
      </c>
      <c r="H405">
        <f>SQRT(SUMPRODUCT((B405:F405-$B$410:$F$410)^2))</f>
        <v/>
      </c>
      <c r="I405">
        <f>H405/(G405+H405)</f>
        <v/>
      </c>
      <c r="J405">
        <f>1+COUNTIF($I$399:$I$408,"&gt;"&amp;I405)</f>
        <v/>
      </c>
    </row>
    <row r="406">
      <c r="A406" t="inlineStr">
        <is>
          <t>EE</t>
        </is>
      </c>
      <c r="B406">
        <f>B$396*B382/B$394</f>
        <v/>
      </c>
      <c r="C406">
        <f>C$396*C382/C$394</f>
        <v/>
      </c>
      <c r="D406">
        <f>D$396*D382/D$394</f>
        <v/>
      </c>
      <c r="E406">
        <f>E$396*E382/E$394</f>
        <v/>
      </c>
      <c r="F406">
        <f>F$396*F382/F$394</f>
        <v/>
      </c>
      <c r="G406">
        <f>SQRT(SUMPRODUCT((B406:F406-$B$409:$F$409)^2))</f>
        <v/>
      </c>
      <c r="H406">
        <f>SQRT(SUMPRODUCT((B406:F406-$B$410:$F$410)^2))</f>
        <v/>
      </c>
      <c r="I406">
        <f>H406/(G406+H406)</f>
        <v/>
      </c>
      <c r="J406">
        <f>1+COUNTIF($I$399:$I$408,"&gt;"&amp;I406)</f>
        <v/>
      </c>
    </row>
    <row r="407">
      <c r="A407" t="inlineStr">
        <is>
          <t>BG</t>
        </is>
      </c>
      <c r="B407">
        <f>B$396*B383/B$394</f>
        <v/>
      </c>
      <c r="C407">
        <f>C$396*C383/C$394</f>
        <v/>
      </c>
      <c r="D407">
        <f>D$396*D383/D$394</f>
        <v/>
      </c>
      <c r="E407">
        <f>E$396*E383/E$394</f>
        <v/>
      </c>
      <c r="F407">
        <f>F$396*F383/F$394</f>
        <v/>
      </c>
      <c r="G407">
        <f>SQRT(SUMPRODUCT((B407:F407-$B$409:$F$409)^2))</f>
        <v/>
      </c>
      <c r="H407">
        <f>SQRT(SUMPRODUCT((B407:F407-$B$410:$F$410)^2))</f>
        <v/>
      </c>
      <c r="I407">
        <f>H407/(G407+H407)</f>
        <v/>
      </c>
      <c r="J407">
        <f>1+COUNTIF($I$399:$I$408,"&gt;"&amp;I407)</f>
        <v/>
      </c>
    </row>
    <row r="408">
      <c r="A408" t="inlineStr">
        <is>
          <t>UA</t>
        </is>
      </c>
      <c r="B408">
        <f>B$396*B384/B$394</f>
        <v/>
      </c>
      <c r="C408">
        <f>C$396*C384/C$394</f>
        <v/>
      </c>
      <c r="D408">
        <f>D$396*D384/D$394</f>
        <v/>
      </c>
      <c r="E408">
        <f>E$396*E384/E$394</f>
        <v/>
      </c>
      <c r="F408">
        <f>F$396*F384/F$394</f>
        <v/>
      </c>
      <c r="G408">
        <f>SQRT(SUMPRODUCT((B408:F408-$B$409:$F$409)^2))</f>
        <v/>
      </c>
      <c r="H408">
        <f>SQRT(SUMPRODUCT((B408:F408-$B$410:$F$410)^2))</f>
        <v/>
      </c>
      <c r="I408">
        <f>H408/(G408+H408)</f>
        <v/>
      </c>
      <c r="J408">
        <f>1+COUNTIF($I$399:$I$408,"&gt;"&amp;I408)</f>
        <v/>
      </c>
    </row>
    <row r="409">
      <c r="A409" t="inlineStr">
        <is>
          <t>Ideal</t>
        </is>
      </c>
      <c r="B409">
        <f>MAX(B399:B408)</f>
        <v/>
      </c>
      <c r="C409">
        <f>MAX(C399:C408)</f>
        <v/>
      </c>
      <c r="D409">
        <f>MAX(D399:D408)</f>
        <v/>
      </c>
      <c r="E409">
        <f>MAX(E399:E408)</f>
        <v/>
      </c>
      <c r="F409">
        <f>MAX(F399:F408)</f>
        <v/>
      </c>
    </row>
    <row r="410">
      <c r="A410" t="inlineStr">
        <is>
          <t>Anti-ideal</t>
        </is>
      </c>
      <c r="B410">
        <f>MIN(B399:B408)</f>
        <v/>
      </c>
      <c r="C410">
        <f>MIN(C399:C408)</f>
        <v/>
      </c>
      <c r="D410">
        <f>MIN(D399:D408)</f>
        <v/>
      </c>
      <c r="E410">
        <f>MIN(E399:E408)</f>
        <v/>
      </c>
      <c r="F410">
        <f>MIN(F399:F408)</f>
        <v/>
      </c>
    </row>
    <row r="412">
      <c r="A412" s="3" t="inlineStr">
        <is>
          <t>Spearman moved ADMI vs TOPSIS</t>
        </is>
      </c>
      <c r="B412">
        <f>1-6*SUMPRODUCT(($M$375:$M$384-$J$399:$J$408)^2)/(10*(10^2-1))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44" customWidth="1" min="1" max="1"/>
  </cols>
  <sheetData>
    <row r="1">
      <c r="A1" s="1" t="inlineStr">
        <is>
          <t>Transition expectations: units relative to EU-27, and concentration of adoption in large holdings</t>
        </is>
      </c>
    </row>
    <row r="3">
      <c r="A3" s="3" t="inlineStr">
        <is>
          <t>Unit</t>
        </is>
      </c>
      <c r="B3" s="3" t="inlineStr">
        <is>
          <t>ADMI / EU-27</t>
        </is>
      </c>
      <c r="C3" s="3" t="inlineStr">
        <is>
          <t>DM_C / EU-27 (all holdings)</t>
        </is>
      </c>
      <c r="D3" s="3" t="inlineStr">
        <is>
          <t>DM_L3 / EU-27 (all holdings)</t>
        </is>
      </c>
      <c r="E3" s="3" t="inlineStr">
        <is>
          <t>large / all: ROBOTICS</t>
        </is>
      </c>
      <c r="F3" s="3" t="inlineStr">
        <is>
          <t>large / all: MAC_ROB_PPP</t>
        </is>
      </c>
      <c r="G3" s="3" t="inlineStr">
        <is>
          <t>large / all: BAND_SPRAY_PPP</t>
        </is>
      </c>
      <c r="H3" s="3" t="inlineStr">
        <is>
          <t>large / all: VAR_RATE_TECH</t>
        </is>
      </c>
      <c r="I3" s="3" t="inlineStr">
        <is>
          <t>large / all: PREC_MON_CROPS</t>
        </is>
      </c>
      <c r="J3" s="3" t="inlineStr">
        <is>
          <t>large / all: SOIL_ANALYSIS</t>
        </is>
      </c>
      <c r="K3" s="3" t="inlineStr">
        <is>
          <t>large / all, median</t>
        </is>
      </c>
    </row>
    <row r="4">
      <c r="A4" t="inlineStr">
        <is>
          <t>EU27_2020</t>
        </is>
      </c>
      <c r="B4">
        <f>Processing_index!$AD$4/Processing_index!$AD$4</f>
        <v/>
      </c>
      <c r="C4">
        <f>Farm_results!L20/Farm_results!L20</f>
        <v/>
      </c>
      <c r="D4">
        <f>Farm_results!M20/Farm_results!M20</f>
        <v/>
      </c>
      <c r="E4">
        <f>Farm_EU_data!$AE$19/Farm_EU_data!$AE$5</f>
        <v/>
      </c>
      <c r="F4">
        <f>Farm_EU_data!$AE$20/Farm_EU_data!$AE$6</f>
        <v/>
      </c>
      <c r="G4">
        <f>Farm_EU_data!$AE$21/Farm_EU_data!$AE$7</f>
        <v/>
      </c>
      <c r="H4">
        <f>Farm_EU_data!$AE$22/Farm_EU_data!$AE$8</f>
        <v/>
      </c>
      <c r="I4">
        <f>Farm_EU_data!$AE$23/Farm_EU_data!$AE$9</f>
        <v/>
      </c>
      <c r="J4">
        <f>Farm_EU_data!$AE$24/Farm_EU_data!$AE$10</f>
        <v/>
      </c>
      <c r="K4">
        <f>(SMALL(E4:J4,3)+SMALL(E4:J4,4))/2</f>
        <v/>
      </c>
    </row>
    <row r="5">
      <c r="A5" t="inlineStr">
        <is>
          <t>DE</t>
        </is>
      </c>
      <c r="B5">
        <f>Processing_index!$AD$5/Processing_index!$AD$4</f>
        <v/>
      </c>
      <c r="C5">
        <f>Farm_results!L21/Farm_results!L20</f>
        <v/>
      </c>
      <c r="D5">
        <f>Farm_results!M21/Farm_results!M20</f>
        <v/>
      </c>
      <c r="E5">
        <f>Farm_EU_data!$I$19/Farm_EU_data!$I$5</f>
        <v/>
      </c>
      <c r="F5">
        <f>Farm_EU_data!$I$20/Farm_EU_data!$I$6</f>
        <v/>
      </c>
      <c r="G5">
        <f>Farm_EU_data!$I$21/Farm_EU_data!$I$7</f>
        <v/>
      </c>
      <c r="H5">
        <f>Farm_EU_data!$I$22/Farm_EU_data!$I$8</f>
        <v/>
      </c>
      <c r="I5">
        <f>Farm_EU_data!$I$23/Farm_EU_data!$I$9</f>
        <v/>
      </c>
      <c r="J5">
        <f>Farm_EU_data!$I$24/Farm_EU_data!$I$10</f>
        <v/>
      </c>
      <c r="K5">
        <f>(SMALL(E5:J5,3)+SMALL(E5:J5,4))/2</f>
        <v/>
      </c>
    </row>
    <row r="6">
      <c r="A6" t="inlineStr">
        <is>
          <t>PL</t>
        </is>
      </c>
      <c r="B6">
        <f>Processing_index!$AD$6/Processing_index!$AD$4</f>
        <v/>
      </c>
      <c r="C6">
        <f>Farm_results!L22/Farm_results!L20</f>
        <v/>
      </c>
      <c r="D6">
        <f>Farm_results!M22/Farm_results!M20</f>
        <v/>
      </c>
      <c r="E6">
        <f>Farm_EU_data!$Y$19/Farm_EU_data!$Y$5</f>
        <v/>
      </c>
      <c r="F6">
        <f>Farm_EU_data!$Y$20/Farm_EU_data!$Y$6</f>
        <v/>
      </c>
      <c r="G6">
        <f>Farm_EU_data!$Y$21/Farm_EU_data!$Y$7</f>
        <v/>
      </c>
      <c r="H6">
        <f>Farm_EU_data!$Y$22/Farm_EU_data!$Y$8</f>
        <v/>
      </c>
      <c r="I6">
        <f>Farm_EU_data!$Y$23/Farm_EU_data!$Y$9</f>
        <v/>
      </c>
      <c r="J6">
        <f>Farm_EU_data!$Y$24/Farm_EU_data!$Y$10</f>
        <v/>
      </c>
      <c r="K6">
        <f>(SMALL(E6:J6,3)+SMALL(E6:J6,4))/2</f>
        <v/>
      </c>
    </row>
    <row r="7">
      <c r="A7" t="inlineStr">
        <is>
          <t>HU</t>
        </is>
      </c>
      <c r="B7">
        <f>Processing_index!$AD$7/Processing_index!$AD$4</f>
        <v/>
      </c>
      <c r="C7">
        <f>Farm_results!L23/Farm_results!L20</f>
        <v/>
      </c>
      <c r="D7">
        <f>Farm_results!M23/Farm_results!M20</f>
        <v/>
      </c>
      <c r="E7">
        <f>Farm_EU_data!$Q$19/Farm_EU_data!$Q$5</f>
        <v/>
      </c>
      <c r="F7">
        <f>Farm_EU_data!$Q$20/Farm_EU_data!$Q$6</f>
        <v/>
      </c>
      <c r="G7">
        <f>Farm_EU_data!$Q$21/Farm_EU_data!$Q$7</f>
        <v/>
      </c>
      <c r="H7">
        <f>Farm_EU_data!$Q$22/Farm_EU_data!$Q$8</f>
        <v/>
      </c>
      <c r="I7">
        <f>Farm_EU_data!$Q$23/Farm_EU_data!$Q$9</f>
        <v/>
      </c>
      <c r="J7">
        <f>Farm_EU_data!$Q$24/Farm_EU_data!$Q$10</f>
        <v/>
      </c>
      <c r="K7">
        <f>(SMALL(E7:J7,3)+SMALL(E7:J7,4))/2</f>
        <v/>
      </c>
    </row>
    <row r="8">
      <c r="A8" t="inlineStr">
        <is>
          <t>RO</t>
        </is>
      </c>
      <c r="B8">
        <f>Processing_index!$AD$8/Processing_index!$AD$4</f>
        <v/>
      </c>
      <c r="C8">
        <f>Farm_results!L24/Farm_results!L20</f>
        <v/>
      </c>
      <c r="D8">
        <f>Farm_results!M24/Farm_results!M20</f>
        <v/>
      </c>
      <c r="E8">
        <f>Farm_EU_data!$AA$19/Farm_EU_data!$AA$5</f>
        <v/>
      </c>
      <c r="F8">
        <f>Farm_EU_data!$AA$20/Farm_EU_data!$AA$6</f>
        <v/>
      </c>
      <c r="G8">
        <f>Farm_EU_data!$AA$21/Farm_EU_data!$AA$7</f>
        <v/>
      </c>
      <c r="H8">
        <f>Farm_EU_data!$AA$22/Farm_EU_data!$AA$8</f>
        <v/>
      </c>
      <c r="I8">
        <f>Farm_EU_data!$AA$23/Farm_EU_data!$AA$9</f>
        <v/>
      </c>
      <c r="J8">
        <f>Farm_EU_data!$AA$24/Farm_EU_data!$AA$10</f>
        <v/>
      </c>
      <c r="K8">
        <f>(SMALL(E8:J8,3)+SMALL(E8:J8,4))/2</f>
        <v/>
      </c>
    </row>
    <row r="9">
      <c r="A9" t="inlineStr">
        <is>
          <t>CZ</t>
        </is>
      </c>
      <c r="B9">
        <f>Processing_index!$AD$9/Processing_index!$AD$4</f>
        <v/>
      </c>
      <c r="C9">
        <f>Farm_results!L25/Farm_results!L20</f>
        <v/>
      </c>
      <c r="D9">
        <f>Farm_results!M25/Farm_results!M20</f>
        <v/>
      </c>
      <c r="E9">
        <f>Farm_EU_data!$H$19/Farm_EU_data!$H$5</f>
        <v/>
      </c>
      <c r="F9">
        <f>Farm_EU_data!$H$20/Farm_EU_data!$H$6</f>
        <v/>
      </c>
      <c r="G9">
        <f>Farm_EU_data!$H$21/Farm_EU_data!$H$7</f>
        <v/>
      </c>
      <c r="H9">
        <f>Farm_EU_data!$H$22/Farm_EU_data!$H$8</f>
        <v/>
      </c>
      <c r="I9">
        <f>Farm_EU_data!$H$23/Farm_EU_data!$H$9</f>
        <v/>
      </c>
      <c r="J9">
        <f>Farm_EU_data!$H$24/Farm_EU_data!$H$10</f>
        <v/>
      </c>
      <c r="K9">
        <f>(SMALL(E9:J9,3)+SMALL(E9:J9,4))/2</f>
        <v/>
      </c>
    </row>
    <row r="10">
      <c r="A10" t="inlineStr">
        <is>
          <t>SK</t>
        </is>
      </c>
      <c r="B10">
        <f>Processing_index!$AD$10/Processing_index!$AD$4</f>
        <v/>
      </c>
      <c r="C10">
        <f>Farm_results!L26/Farm_results!L20</f>
        <v/>
      </c>
      <c r="D10">
        <f>Farm_results!M26/Farm_results!M20</f>
        <v/>
      </c>
      <c r="E10">
        <f>Farm_EU_data!$AD$19/Farm_EU_data!$AD$5</f>
        <v/>
      </c>
      <c r="F10">
        <f>Farm_EU_data!$AD$20/Farm_EU_data!$AD$6</f>
        <v/>
      </c>
      <c r="G10">
        <f>Farm_EU_data!$AD$21/Farm_EU_data!$AD$7</f>
        <v/>
      </c>
      <c r="H10">
        <f>Farm_EU_data!$AD$22/Farm_EU_data!$AD$8</f>
        <v/>
      </c>
      <c r="I10">
        <f>Farm_EU_data!$AD$23/Farm_EU_data!$AD$9</f>
        <v/>
      </c>
      <c r="J10">
        <f>Farm_EU_data!$AD$24/Farm_EU_data!$AD$10</f>
        <v/>
      </c>
      <c r="K10">
        <f>(SMALL(E10:J10,3)+SMALL(E10:J10,4))/2</f>
        <v/>
      </c>
    </row>
    <row r="11">
      <c r="A11" t="inlineStr">
        <is>
          <t>LT</t>
        </is>
      </c>
      <c r="B11">
        <f>Processing_index!$AD$11/Processing_index!$AD$4</f>
        <v/>
      </c>
      <c r="C11">
        <f>Farm_results!L27/Farm_results!L20</f>
        <v/>
      </c>
      <c r="D11">
        <f>Farm_results!M27/Farm_results!M20</f>
        <v/>
      </c>
      <c r="E11">
        <f>Farm_EU_data!$T$19/Farm_EU_data!$T$5</f>
        <v/>
      </c>
      <c r="F11">
        <f>Farm_EU_data!$T$20/Farm_EU_data!$T$6</f>
        <v/>
      </c>
      <c r="G11">
        <f>Farm_EU_data!$T$21/Farm_EU_data!$T$7</f>
        <v/>
      </c>
      <c r="H11">
        <f>Farm_EU_data!$T$22/Farm_EU_data!$T$8</f>
        <v/>
      </c>
      <c r="I11">
        <f>Farm_EU_data!$T$23/Farm_EU_data!$T$9</f>
        <v/>
      </c>
      <c r="J11">
        <f>Farm_EU_data!$T$24/Farm_EU_data!$T$10</f>
        <v/>
      </c>
      <c r="K11">
        <f>(SMALL(E11:J11,3)+SMALL(E11:J11,4))/2</f>
        <v/>
      </c>
    </row>
    <row r="12">
      <c r="A12" t="inlineStr">
        <is>
          <t>LV</t>
        </is>
      </c>
      <c r="B12">
        <f>Processing_index!$AD$12/Processing_index!$AD$4</f>
        <v/>
      </c>
      <c r="C12">
        <f>Farm_results!L28/Farm_results!L20</f>
        <v/>
      </c>
      <c r="D12">
        <f>Farm_results!M28/Farm_results!M20</f>
        <v/>
      </c>
      <c r="E12">
        <f>Farm_EU_data!$V$19/Farm_EU_data!$V$5</f>
        <v/>
      </c>
      <c r="F12">
        <f>Farm_EU_data!$V$20/Farm_EU_data!$V$6</f>
        <v/>
      </c>
      <c r="G12">
        <f>Farm_EU_data!$V$21/Farm_EU_data!$V$7</f>
        <v/>
      </c>
      <c r="H12">
        <f>Farm_EU_data!$V$22/Farm_EU_data!$V$8</f>
        <v/>
      </c>
      <c r="I12">
        <f>Farm_EU_data!$V$23/Farm_EU_data!$V$9</f>
        <v/>
      </c>
      <c r="J12">
        <f>Farm_EU_data!$V$24/Farm_EU_data!$V$10</f>
        <v/>
      </c>
      <c r="K12">
        <f>(SMALL(E12:J12,3)+SMALL(E12:J12,4))/2</f>
        <v/>
      </c>
    </row>
    <row r="13">
      <c r="A13" t="inlineStr">
        <is>
          <t>EE</t>
        </is>
      </c>
      <c r="B13">
        <f>Processing_index!$AD$13/Processing_index!$AD$4</f>
        <v/>
      </c>
      <c r="C13">
        <f>Farm_results!L29/Farm_results!L20</f>
        <v/>
      </c>
      <c r="D13">
        <f>Farm_results!M29/Farm_results!M20</f>
        <v/>
      </c>
      <c r="E13">
        <f>Farm_EU_data!$K$19/Farm_EU_data!$K$5</f>
        <v/>
      </c>
      <c r="F13">
        <f>Farm_EU_data!$K$20/Farm_EU_data!$K$6</f>
        <v/>
      </c>
      <c r="G13">
        <f>Farm_EU_data!$K$21/Farm_EU_data!$K$7</f>
        <v/>
      </c>
      <c r="H13">
        <f>Farm_EU_data!$K$22/Farm_EU_data!$K$8</f>
        <v/>
      </c>
      <c r="I13">
        <f>Farm_EU_data!$K$23/Farm_EU_data!$K$9</f>
        <v/>
      </c>
      <c r="J13">
        <f>Farm_EU_data!$K$24/Farm_EU_data!$K$10</f>
        <v/>
      </c>
      <c r="K13">
        <f>(SMALL(E13:J13,3)+SMALL(E13:J13,4))/2</f>
        <v/>
      </c>
    </row>
    <row r="14">
      <c r="A14" t="inlineStr">
        <is>
          <t>BG</t>
        </is>
      </c>
      <c r="B14">
        <f>Processing_index!$AD$14/Processing_index!$AD$4</f>
        <v/>
      </c>
      <c r="C14">
        <f>Farm_results!L30/Farm_results!L20</f>
        <v/>
      </c>
      <c r="D14">
        <f>Farm_results!M30/Farm_results!M20</f>
        <v/>
      </c>
      <c r="E14">
        <f>Farm_EU_data!$F$19/Farm_EU_data!$F$5</f>
        <v/>
      </c>
      <c r="F14">
        <f>Farm_EU_data!$F$20/Farm_EU_data!$F$6</f>
        <v/>
      </c>
      <c r="G14">
        <f>Farm_EU_data!$F$21/Farm_EU_data!$F$7</f>
        <v/>
      </c>
      <c r="H14">
        <f>Farm_EU_data!$F$22/Farm_EU_data!$F$8</f>
        <v/>
      </c>
      <c r="I14">
        <f>Farm_EU_data!$F$23/Farm_EU_data!$F$9</f>
        <v/>
      </c>
      <c r="J14">
        <f>Farm_EU_data!$F$24/Farm_EU_data!$F$10</f>
        <v/>
      </c>
      <c r="K14">
        <f>(SMALL(E14:J14,3)+SMALL(E14:J14,4))/2</f>
        <v/>
      </c>
    </row>
    <row r="15">
      <c r="A15" t="inlineStr">
        <is>
          <t>UA</t>
        </is>
      </c>
      <c r="B15">
        <f>Processing_index!$AD$15/Processing_index!$AD$4</f>
        <v/>
      </c>
      <c r="C15">
        <f>Farm_results!L31/Farm_results!L20</f>
        <v/>
      </c>
      <c r="D15">
        <f>Farm_results!M31/Farm_results!M20</f>
        <v/>
      </c>
      <c r="K15" t="inlineStr">
        <is>
          <t>n/a (no small-holding segment)</t>
        </is>
      </c>
    </row>
    <row r="17">
      <c r="A17" s="3" t="inlineStr">
        <is>
          <t>CEE median, ADMI / EU-27</t>
        </is>
      </c>
      <c r="B17">
        <f>SMALL(B6:B14,5)</f>
        <v/>
      </c>
    </row>
    <row r="18">
      <c r="A18" s="3" t="inlineStr">
        <is>
          <t>CEE median, DM_C / EU-27</t>
        </is>
      </c>
      <c r="B18">
        <f>SMALL(C6:C14,5)</f>
        <v/>
      </c>
    </row>
    <row r="19">
      <c r="A19" s="3" t="inlineStr">
        <is>
          <t>CEE median, DM_L3 / EU-27</t>
        </is>
      </c>
      <c r="B19">
        <f>SMALL(D6:D14,5)</f>
        <v/>
      </c>
    </row>
    <row r="20">
      <c r="A20" s="3" t="inlineStr">
        <is>
          <t>CEE median, large / all</t>
        </is>
      </c>
      <c r="B20">
        <f>SMALL(K6:K14,5)</f>
        <v/>
      </c>
    </row>
    <row r="21">
      <c r="A21" s="3" t="inlineStr">
        <is>
          <t>CEE countries with large / all above EU-27</t>
        </is>
      </c>
      <c r="B21">
        <f>COUNTIF(K6:K14,"&gt;"&amp;K4)</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57"/>
  <sheetViews>
    <sheetView workbookViewId="0">
      <selection activeCell="A1" sqref="A1"/>
    </sheetView>
  </sheetViews>
  <sheetFormatPr baseColWidth="8" defaultRowHeight="15"/>
  <cols>
    <col width="42" customWidth="1" min="1" max="1"/>
    <col width="3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Tables of the paper (every number is a formula over the calculation sheets)</t>
        </is>
      </c>
    </row>
    <row r="3">
      <c r="A3" s="3" t="inlineStr">
        <is>
          <t>Table 1. Farm-level technologies and their place in the ADMA model</t>
        </is>
      </c>
    </row>
    <row r="4">
      <c r="A4" s="6" t="inlineStr">
        <is>
          <t>Technology</t>
        </is>
      </c>
      <c r="B4" s="6" t="inlineStr">
        <is>
          <t>Eurostat code</t>
        </is>
      </c>
      <c r="C4" s="6" t="inlineStr">
        <is>
          <t>ADMA layer</t>
        </is>
      </c>
    </row>
    <row r="5">
      <c r="A5" t="inlineStr">
        <is>
          <t>Robotics</t>
        </is>
      </c>
      <c r="B5" t="inlineStr">
        <is>
          <t>MAC_ROB</t>
        </is>
      </c>
      <c r="C5" t="inlineStr">
        <is>
          <t>C</t>
        </is>
      </c>
    </row>
    <row r="6">
      <c r="A6" t="inlineStr">
        <is>
          <t>Robots for plant protection products</t>
        </is>
      </c>
      <c r="B6" t="inlineStr">
        <is>
          <t>MAC_ROB_PPP</t>
        </is>
      </c>
      <c r="C6" t="inlineStr">
        <is>
          <t>L3</t>
        </is>
      </c>
    </row>
    <row r="7">
      <c r="A7" t="inlineStr">
        <is>
          <t>Band spraying of plant protection products</t>
        </is>
      </c>
      <c r="B7" t="inlineStr">
        <is>
          <t>MAC_BDS_PPP</t>
        </is>
      </c>
      <c r="C7" t="inlineStr">
        <is>
          <t>L3</t>
        </is>
      </c>
    </row>
    <row r="8">
      <c r="A8" t="inlineStr">
        <is>
          <t>Variable rate technology</t>
        </is>
      </c>
      <c r="B8" t="inlineStr">
        <is>
          <t>MAC_VRT</t>
        </is>
      </c>
      <c r="C8" t="inlineStr">
        <is>
          <t>L3</t>
        </is>
      </c>
    </row>
    <row r="9">
      <c r="A9" t="inlineStr">
        <is>
          <t>Precision crop monitoring</t>
        </is>
      </c>
      <c r="B9" t="inlineStr">
        <is>
          <t>MAC_PMON_CR</t>
        </is>
      </c>
      <c r="C9" t="inlineStr">
        <is>
          <t>L3</t>
        </is>
      </c>
    </row>
    <row r="10">
      <c r="A10" t="inlineStr">
        <is>
          <t>Soil analysis</t>
        </is>
      </c>
      <c r="B10" t="inlineStr">
        <is>
          <t>MAC_ASOIL</t>
        </is>
      </c>
      <c r="C10" t="inlineStr">
        <is>
          <t>L3</t>
        </is>
      </c>
    </row>
    <row r="11">
      <c r="A11" t="inlineStr">
        <is>
          <t>Automatic feeding systems</t>
        </is>
      </c>
      <c r="B11" t="inlineStr">
        <is>
          <t>MAC_AFDS</t>
        </is>
      </c>
      <c r="C11" t="inlineStr">
        <is>
          <t>L3</t>
        </is>
      </c>
    </row>
    <row r="12">
      <c r="A12" t="inlineStr">
        <is>
          <t>Milking robots</t>
        </is>
      </c>
      <c r="B12" t="inlineStr">
        <is>
          <t>MAC_MLK_ROB</t>
        </is>
      </c>
      <c r="C12" t="inlineStr">
        <is>
          <t>L3</t>
        </is>
      </c>
    </row>
    <row r="13">
      <c r="A13" t="inlineStr">
        <is>
          <t>Animal health monitoring</t>
        </is>
      </c>
      <c r="B13" t="inlineStr">
        <is>
          <t>MAC_WHMON</t>
        </is>
      </c>
      <c r="C13" t="inlineStr">
        <is>
          <t>L3</t>
        </is>
      </c>
    </row>
    <row r="14">
      <c r="A14" t="inlineStr">
        <is>
          <t>Automatic climate regulation</t>
        </is>
      </c>
      <c r="B14" t="inlineStr">
        <is>
          <t>MAC_AREG</t>
        </is>
      </c>
      <c r="C14" t="inlineStr">
        <is>
          <t>L3</t>
        </is>
      </c>
    </row>
    <row r="17">
      <c r="A17" s="3" t="inlineStr">
        <is>
          <t>Table 2. Food processing indicators (NACE C10-C12), % of enterprises</t>
        </is>
      </c>
    </row>
    <row r="18">
      <c r="A18" s="6" t="inlineStr">
        <is>
          <t>Layer</t>
        </is>
      </c>
      <c r="B18" s="6" t="inlineStr">
        <is>
          <t>Indicator</t>
        </is>
      </c>
      <c r="C18" s="6" t="inlineStr">
        <is>
          <t>Year EU</t>
        </is>
      </c>
      <c r="D18" s="6" t="inlineStr">
        <is>
          <t>Year UA</t>
        </is>
      </c>
      <c r="E18" s="6" t="inlineStr">
        <is>
          <t>EU-27</t>
        </is>
      </c>
      <c r="F18" s="6" t="inlineStr">
        <is>
          <t>EU leader value</t>
        </is>
      </c>
      <c r="G18" s="6" t="inlineStr">
        <is>
          <t>EU leader</t>
        </is>
      </c>
      <c r="H18" s="6" t="inlineStr">
        <is>
          <t>Ukraine</t>
        </is>
      </c>
    </row>
    <row r="19">
      <c r="A19" t="inlineStr">
        <is>
          <t>C</t>
        </is>
      </c>
      <c r="B19" t="inlineStr">
        <is>
          <t>ERP</t>
        </is>
      </c>
      <c r="C19">
        <f>Processing_data!$E$4</f>
        <v/>
      </c>
      <c r="D19">
        <f>Processing_data!$F$4</f>
        <v/>
      </c>
      <c r="E19" s="7">
        <f>Processing_data!$AH$4</f>
        <v/>
      </c>
      <c r="F19" s="7">
        <f>Processing_data!$AJ$4</f>
        <v/>
      </c>
      <c r="G19">
        <f>Processing_data!$AK$4</f>
        <v/>
      </c>
      <c r="H19" s="7">
        <f>Processing_data!$AI$4</f>
        <v/>
      </c>
    </row>
    <row r="20">
      <c r="A20" t="inlineStr">
        <is>
          <t>C</t>
        </is>
      </c>
      <c r="B20" t="inlineStr">
        <is>
          <t>IoT in production processes</t>
        </is>
      </c>
      <c r="C20">
        <f>Processing_data!$E$5</f>
        <v/>
      </c>
      <c r="D20">
        <f>Processing_data!$F$5</f>
        <v/>
      </c>
      <c r="E20" s="7">
        <f>Processing_data!$AH$5</f>
        <v/>
      </c>
      <c r="F20" s="7">
        <f>Processing_data!$AJ$5</f>
        <v/>
      </c>
      <c r="G20">
        <f>Processing_data!$AK$5</f>
        <v/>
      </c>
      <c r="H20" s="7">
        <f>Processing_data!$AI$5</f>
        <v/>
      </c>
    </row>
    <row r="21">
      <c r="A21" t="inlineStr">
        <is>
          <t>C</t>
        </is>
      </c>
      <c r="B21" t="inlineStr">
        <is>
          <t>Document on ICT security</t>
        </is>
      </c>
      <c r="C21">
        <f>Processing_data!$E$6</f>
        <v/>
      </c>
      <c r="D21">
        <f>Processing_data!$F$6</f>
        <v/>
      </c>
      <c r="E21" s="7">
        <f>Processing_data!$AH$6</f>
        <v/>
      </c>
      <c r="F21" s="7">
        <f>Processing_data!$AJ$6</f>
        <v/>
      </c>
      <c r="G21">
        <f>Processing_data!$AK$6</f>
        <v/>
      </c>
      <c r="H21" s="7">
        <f>Processing_data!$AI$6</f>
        <v/>
      </c>
    </row>
    <row r="22">
      <c r="A22" t="inlineStr">
        <is>
          <t>L1</t>
        </is>
      </c>
      <c r="B22" t="inlineStr">
        <is>
          <t>ICT training for ICT specialists</t>
        </is>
      </c>
      <c r="C22">
        <f>Processing_data!$E$7</f>
        <v/>
      </c>
      <c r="D22">
        <f>Processing_data!$F$7</f>
        <v/>
      </c>
      <c r="E22" s="7">
        <f>Processing_data!$AH$7</f>
        <v/>
      </c>
      <c r="F22" s="7">
        <f>Processing_data!$AJ$7</f>
        <v/>
      </c>
      <c r="G22">
        <f>Processing_data!$AK$7</f>
        <v/>
      </c>
      <c r="H22" s="7">
        <f>Processing_data!$AI$7</f>
        <v/>
      </c>
    </row>
    <row r="23">
      <c r="A23" t="inlineStr">
        <is>
          <t>L1</t>
        </is>
      </c>
      <c r="B23" t="inlineStr">
        <is>
          <t>ICT training for other employees</t>
        </is>
      </c>
      <c r="C23">
        <f>Processing_data!$E$8</f>
        <v/>
      </c>
      <c r="D23">
        <f>Processing_data!$F$8</f>
        <v/>
      </c>
      <c r="E23" s="7">
        <f>Processing_data!$AH$8</f>
        <v/>
      </c>
      <c r="F23" s="7">
        <f>Processing_data!$AJ$8</f>
        <v/>
      </c>
      <c r="G23">
        <f>Processing_data!$AK$8</f>
        <v/>
      </c>
      <c r="H23" s="7">
        <f>Processing_data!$AI$8</f>
        <v/>
      </c>
    </row>
    <row r="24">
      <c r="A24" t="inlineStr">
        <is>
          <t>L2</t>
        </is>
      </c>
      <c r="B24" t="inlineStr">
        <is>
          <t>Data sharing in the supply chain</t>
        </is>
      </c>
      <c r="C24">
        <f>Processing_data!$E$9</f>
        <v/>
      </c>
      <c r="D24">
        <f>Processing_data!$F$9</f>
        <v/>
      </c>
      <c r="E24" s="7">
        <f>Processing_data!$AH$9</f>
        <v/>
      </c>
      <c r="F24" s="7">
        <f>Processing_data!$AJ$9</f>
        <v/>
      </c>
      <c r="G24">
        <f>Processing_data!$AK$9</f>
        <v/>
      </c>
      <c r="H24" s="7">
        <f>Processing_data!$AI$9</f>
        <v/>
      </c>
    </row>
    <row r="25">
      <c r="A25" t="inlineStr">
        <is>
          <t>L2</t>
        </is>
      </c>
      <c r="B25" t="inlineStr">
        <is>
          <t>Data analytics</t>
        </is>
      </c>
      <c r="C25">
        <f>Processing_data!$E$10</f>
        <v/>
      </c>
      <c r="D25">
        <f>Processing_data!$F$10</f>
        <v/>
      </c>
      <c r="E25" s="7">
        <f>Processing_data!$AH$10</f>
        <v/>
      </c>
      <c r="F25" s="7">
        <f>Processing_data!$AJ$10</f>
        <v/>
      </c>
      <c r="G25">
        <f>Processing_data!$AK$10</f>
        <v/>
      </c>
      <c r="H25" s="7">
        <f>Processing_data!$AI$10</f>
        <v/>
      </c>
    </row>
    <row r="26">
      <c r="A26" t="inlineStr">
        <is>
          <t>L2</t>
        </is>
      </c>
      <c r="B26" t="inlineStr">
        <is>
          <t>Internet of Things</t>
        </is>
      </c>
      <c r="C26">
        <f>Processing_data!$E$11</f>
        <v/>
      </c>
      <c r="D26">
        <f>Processing_data!$F$11</f>
        <v/>
      </c>
      <c r="E26" s="7">
        <f>Processing_data!$AH$11</f>
        <v/>
      </c>
      <c r="F26" s="7">
        <f>Processing_data!$AJ$11</f>
        <v/>
      </c>
      <c r="G26">
        <f>Processing_data!$AK$11</f>
        <v/>
      </c>
      <c r="H26" s="7">
        <f>Processing_data!$AI$11</f>
        <v/>
      </c>
    </row>
    <row r="27">
      <c r="A27" t="inlineStr">
        <is>
          <t>L3</t>
        </is>
      </c>
      <c r="B27" t="inlineStr">
        <is>
          <t>Mobile internet access</t>
        </is>
      </c>
      <c r="C27">
        <f>Processing_data!$E$12</f>
        <v/>
      </c>
      <c r="D27">
        <f>Processing_data!$F$12</f>
        <v/>
      </c>
      <c r="E27" s="7">
        <f>Processing_data!$AH$12</f>
        <v/>
      </c>
      <c r="F27" s="7">
        <f>Processing_data!$AJ$12</f>
        <v/>
      </c>
      <c r="G27">
        <f>Processing_data!$AK$12</f>
        <v/>
      </c>
      <c r="H27" s="7">
        <f>Processing_data!$AI$12</f>
        <v/>
      </c>
    </row>
    <row r="28">
      <c r="A28" t="inlineStr">
        <is>
          <t>L3</t>
        </is>
      </c>
      <c r="B28" t="inlineStr">
        <is>
          <t>Paid cloud services</t>
        </is>
      </c>
      <c r="C28">
        <f>Processing_data!$E$13</f>
        <v/>
      </c>
      <c r="D28">
        <f>Processing_data!$F$13</f>
        <v/>
      </c>
      <c r="E28" s="7">
        <f>Processing_data!$AH$13</f>
        <v/>
      </c>
      <c r="F28" s="7">
        <f>Processing_data!$AJ$13</f>
        <v/>
      </c>
      <c r="G28">
        <f>Processing_data!$AK$13</f>
        <v/>
      </c>
      <c r="H28" s="7">
        <f>Processing_data!$AI$13</f>
        <v/>
      </c>
    </row>
    <row r="29">
      <c r="A29" t="inlineStr">
        <is>
          <t>L4</t>
        </is>
      </c>
      <c r="B29" t="inlineStr">
        <is>
          <t>E-commerce sales</t>
        </is>
      </c>
      <c r="C29">
        <f>Processing_data!$E$14</f>
        <v/>
      </c>
      <c r="D29">
        <f>Processing_data!$F$14</f>
        <v/>
      </c>
      <c r="E29" s="7">
        <f>Processing_data!$AH$14</f>
        <v/>
      </c>
      <c r="F29" s="7">
        <f>Processing_data!$AJ$14</f>
        <v/>
      </c>
      <c r="G29">
        <f>Processing_data!$AK$14</f>
        <v/>
      </c>
      <c r="H29" s="7">
        <f>Processing_data!$AI$14</f>
        <v/>
      </c>
    </row>
    <row r="30">
      <c r="A30" t="inlineStr">
        <is>
          <t>L4</t>
        </is>
      </c>
      <c r="B30" t="inlineStr">
        <is>
          <t>Website</t>
        </is>
      </c>
      <c r="C30">
        <f>Processing_data!$E$15</f>
        <v/>
      </c>
      <c r="D30">
        <f>Processing_data!$F$15</f>
        <v/>
      </c>
      <c r="E30" s="7">
        <f>Processing_data!$AH$15</f>
        <v/>
      </c>
      <c r="F30" s="7">
        <f>Processing_data!$AJ$15</f>
        <v/>
      </c>
      <c r="G30">
        <f>Processing_data!$AK$15</f>
        <v/>
      </c>
      <c r="H30" s="7">
        <f>Processing_data!$AI$15</f>
        <v/>
      </c>
    </row>
    <row r="31">
      <c r="A31" t="inlineStr">
        <is>
          <t>L4</t>
        </is>
      </c>
      <c r="B31" t="inlineStr">
        <is>
          <t>CRM</t>
        </is>
      </c>
      <c r="C31">
        <f>Processing_data!$E$16</f>
        <v/>
      </c>
      <c r="D31">
        <f>Processing_data!$F$16</f>
        <v/>
      </c>
      <c r="E31" s="7">
        <f>Processing_data!$AH$16</f>
        <v/>
      </c>
      <c r="F31" s="7">
        <f>Processing_data!$AJ$16</f>
        <v/>
      </c>
      <c r="G31">
        <f>Processing_data!$AK$16</f>
        <v/>
      </c>
      <c r="H31" s="7">
        <f>Processing_data!$AI$16</f>
        <v/>
      </c>
    </row>
    <row r="32">
      <c r="A32" t="inlineStr">
        <is>
          <t>I</t>
        </is>
      </c>
      <c r="B32" t="inlineStr">
        <is>
          <t>E-invoices for automated processing</t>
        </is>
      </c>
      <c r="C32">
        <f>Processing_data!$E$17</f>
        <v/>
      </c>
      <c r="D32">
        <f>Processing_data!$F$17</f>
        <v/>
      </c>
      <c r="E32" s="7">
        <f>Processing_data!$AH$17</f>
        <v/>
      </c>
      <c r="F32" s="7">
        <f>Processing_data!$AJ$17</f>
        <v/>
      </c>
      <c r="G32">
        <f>Processing_data!$AK$17</f>
        <v/>
      </c>
      <c r="H32" s="7">
        <f>Processing_data!$AI$17</f>
        <v/>
      </c>
    </row>
    <row r="33">
      <c r="A33" t="inlineStr">
        <is>
          <t>I</t>
        </is>
      </c>
      <c r="B33" t="inlineStr">
        <is>
          <t>Business intelligence</t>
        </is>
      </c>
      <c r="C33">
        <f>Processing_data!$E$18</f>
        <v/>
      </c>
      <c r="D33">
        <f>Processing_data!$F$18</f>
        <v/>
      </c>
      <c r="E33" s="7">
        <f>Processing_data!$AH$18</f>
        <v/>
      </c>
      <c r="F33" s="7">
        <f>Processing_data!$AJ$18</f>
        <v/>
      </c>
      <c r="G33">
        <f>Processing_data!$AK$18</f>
        <v/>
      </c>
      <c r="H33" s="7">
        <f>Processing_data!$AI$18</f>
        <v/>
      </c>
    </row>
    <row r="34">
      <c r="A34" t="inlineStr">
        <is>
          <t>S</t>
        </is>
      </c>
      <c r="B34" t="inlineStr">
        <is>
          <t>Artificial intelligence</t>
        </is>
      </c>
      <c r="C34">
        <f>Processing_data!$E$19</f>
        <v/>
      </c>
      <c r="D34">
        <f>Processing_data!$F$19</f>
        <v/>
      </c>
      <c r="E34" s="7">
        <f>Processing_data!$AH$19</f>
        <v/>
      </c>
      <c r="F34" s="7">
        <f>Processing_data!$AJ$19</f>
        <v/>
      </c>
      <c r="G34">
        <f>Processing_data!$AK$19</f>
        <v/>
      </c>
      <c r="H34" s="7">
        <f>Processing_data!$AI$19</f>
        <v/>
      </c>
    </row>
    <row r="35">
      <c r="A35" t="inlineStr">
        <is>
          <t>S</t>
        </is>
      </c>
      <c r="B35" t="inlineStr">
        <is>
          <t>At least basic digital intensity</t>
        </is>
      </c>
      <c r="C35">
        <f>Processing_data!$E$20</f>
        <v/>
      </c>
      <c r="D35">
        <f>Processing_data!$F$20</f>
        <v/>
      </c>
      <c r="E35" s="7">
        <f>Processing_data!$AH$20</f>
        <v/>
      </c>
      <c r="F35" s="7">
        <f>Processing_data!$AJ$20</f>
        <v/>
      </c>
      <c r="G35">
        <f>Processing_data!$AK$20</f>
        <v/>
      </c>
      <c r="H35" s="7">
        <f>Processing_data!$AI$20</f>
        <v/>
      </c>
    </row>
    <row r="38">
      <c r="A38" s="3" t="inlineStr">
        <is>
          <t>Table 3. Partial layer scores of farms</t>
        </is>
      </c>
    </row>
    <row r="39">
      <c r="A39" s="6" t="inlineStr">
        <is>
          <t>Unit</t>
        </is>
      </c>
      <c r="B39" s="6" t="inlineStr">
        <is>
          <t>DM_C, all</t>
        </is>
      </c>
      <c r="C39" s="6" t="inlineStr">
        <is>
          <t>DM_L3, all</t>
        </is>
      </c>
      <c r="D39" s="6" t="inlineStr">
        <is>
          <t>crop</t>
        </is>
      </c>
      <c r="E39" s="6" t="inlineStr">
        <is>
          <t>livestock</t>
        </is>
      </c>
      <c r="F39" s="6" t="inlineStr">
        <is>
          <t>DM_C, large</t>
        </is>
      </c>
      <c r="G39" s="6" t="inlineStr">
        <is>
          <t>DM_L3, large</t>
        </is>
      </c>
    </row>
    <row r="40">
      <c r="A40" t="inlineStr">
        <is>
          <t>EU-27</t>
        </is>
      </c>
      <c r="B40" s="8">
        <f>Farm_results!L20</f>
        <v/>
      </c>
      <c r="C40" s="8">
        <f>Farm_results!M20</f>
        <v/>
      </c>
      <c r="D40" s="8">
        <f>Farm_results!N20</f>
        <v/>
      </c>
      <c r="E40" s="8">
        <f>Farm_results!O20</f>
        <v/>
      </c>
      <c r="F40" s="8">
        <f>Farm_results!L38</f>
        <v/>
      </c>
      <c r="G40" s="8">
        <f>Farm_results!M38</f>
        <v/>
      </c>
    </row>
    <row r="41">
      <c r="A41" t="inlineStr">
        <is>
          <t>Germany</t>
        </is>
      </c>
      <c r="B41" s="8">
        <f>Farm_results!L21</f>
        <v/>
      </c>
      <c r="C41" s="8">
        <f>Farm_results!M21</f>
        <v/>
      </c>
      <c r="D41" s="8">
        <f>Farm_results!N21</f>
        <v/>
      </c>
      <c r="E41" s="8">
        <f>Farm_results!O21</f>
        <v/>
      </c>
      <c r="F41" s="8">
        <f>Farm_results!L39</f>
        <v/>
      </c>
      <c r="G41" s="8">
        <f>Farm_results!M39</f>
        <v/>
      </c>
    </row>
    <row r="42">
      <c r="A42" t="inlineStr">
        <is>
          <t>Poland</t>
        </is>
      </c>
      <c r="B42" s="8">
        <f>Farm_results!L22</f>
        <v/>
      </c>
      <c r="C42" s="8">
        <f>Farm_results!M22</f>
        <v/>
      </c>
      <c r="D42" s="8">
        <f>Farm_results!N22</f>
        <v/>
      </c>
      <c r="E42" s="8">
        <f>Farm_results!O22</f>
        <v/>
      </c>
      <c r="F42" s="8">
        <f>Farm_results!L40</f>
        <v/>
      </c>
      <c r="G42" s="8">
        <f>Farm_results!M40</f>
        <v/>
      </c>
    </row>
    <row r="43">
      <c r="A43" t="inlineStr">
        <is>
          <t>Hungary</t>
        </is>
      </c>
      <c r="B43" s="8">
        <f>Farm_results!L23</f>
        <v/>
      </c>
      <c r="C43" s="8">
        <f>Farm_results!M23</f>
        <v/>
      </c>
      <c r="D43" s="8">
        <f>Farm_results!N23</f>
        <v/>
      </c>
      <c r="E43" s="8">
        <f>Farm_results!O23</f>
        <v/>
      </c>
      <c r="F43" s="8">
        <f>Farm_results!L41</f>
        <v/>
      </c>
      <c r="G43" s="8">
        <f>Farm_results!M41</f>
        <v/>
      </c>
    </row>
    <row r="44">
      <c r="A44" t="inlineStr">
        <is>
          <t>Romania</t>
        </is>
      </c>
      <c r="B44" s="8">
        <f>Farm_results!L24</f>
        <v/>
      </c>
      <c r="C44" s="8">
        <f>Farm_results!M24</f>
        <v/>
      </c>
      <c r="D44" s="8">
        <f>Farm_results!N24</f>
        <v/>
      </c>
      <c r="E44" s="8">
        <f>Farm_results!O24</f>
        <v/>
      </c>
      <c r="F44" s="8">
        <f>Farm_results!L42</f>
        <v/>
      </c>
      <c r="G44" s="8">
        <f>Farm_results!M42</f>
        <v/>
      </c>
    </row>
    <row r="45">
      <c r="A45" t="inlineStr">
        <is>
          <t>Czechia</t>
        </is>
      </c>
      <c r="B45" s="8">
        <f>Farm_results!L25</f>
        <v/>
      </c>
      <c r="C45" s="8">
        <f>Farm_results!M25</f>
        <v/>
      </c>
      <c r="D45" s="8">
        <f>Farm_results!N25</f>
        <v/>
      </c>
      <c r="E45" s="8">
        <f>Farm_results!O25</f>
        <v/>
      </c>
      <c r="F45" s="8">
        <f>Farm_results!L43</f>
        <v/>
      </c>
      <c r="G45" s="8">
        <f>Farm_results!M43</f>
        <v/>
      </c>
    </row>
    <row r="46">
      <c r="A46" t="inlineStr">
        <is>
          <t>Slovakia</t>
        </is>
      </c>
      <c r="B46" s="8">
        <f>Farm_results!L26</f>
        <v/>
      </c>
      <c r="C46" s="8">
        <f>Farm_results!M26</f>
        <v/>
      </c>
      <c r="D46" s="8">
        <f>Farm_results!N26</f>
        <v/>
      </c>
      <c r="E46" s="8">
        <f>Farm_results!O26</f>
        <v/>
      </c>
      <c r="F46" s="8">
        <f>Farm_results!L44</f>
        <v/>
      </c>
      <c r="G46" s="8">
        <f>Farm_results!M44</f>
        <v/>
      </c>
    </row>
    <row r="47">
      <c r="A47" t="inlineStr">
        <is>
          <t>Lithuania</t>
        </is>
      </c>
      <c r="B47" s="8">
        <f>Farm_results!L27</f>
        <v/>
      </c>
      <c r="C47" s="8">
        <f>Farm_results!M27</f>
        <v/>
      </c>
      <c r="D47" s="8">
        <f>Farm_results!N27</f>
        <v/>
      </c>
      <c r="E47" s="8">
        <f>Farm_results!O27</f>
        <v/>
      </c>
      <c r="F47" s="8">
        <f>Farm_results!L45</f>
        <v/>
      </c>
      <c r="G47" s="8">
        <f>Farm_results!M45</f>
        <v/>
      </c>
    </row>
    <row r="48">
      <c r="A48" t="inlineStr">
        <is>
          <t>Latvia</t>
        </is>
      </c>
      <c r="B48" s="8">
        <f>Farm_results!L28</f>
        <v/>
      </c>
      <c r="C48" s="8">
        <f>Farm_results!M28</f>
        <v/>
      </c>
      <c r="D48" s="8">
        <f>Farm_results!N28</f>
        <v/>
      </c>
      <c r="E48" s="8">
        <f>Farm_results!O28</f>
        <v/>
      </c>
      <c r="F48" s="8">
        <f>Farm_results!L46</f>
        <v/>
      </c>
      <c r="G48" s="8">
        <f>Farm_results!M46</f>
        <v/>
      </c>
    </row>
    <row r="49">
      <c r="A49" t="inlineStr">
        <is>
          <t>Estonia</t>
        </is>
      </c>
      <c r="B49" s="8">
        <f>Farm_results!L29</f>
        <v/>
      </c>
      <c r="C49" s="8">
        <f>Farm_results!M29</f>
        <v/>
      </c>
      <c r="D49" s="8">
        <f>Farm_results!N29</f>
        <v/>
      </c>
      <c r="E49" s="8">
        <f>Farm_results!O29</f>
        <v/>
      </c>
      <c r="F49" s="8">
        <f>Farm_results!L47</f>
        <v/>
      </c>
      <c r="G49" s="8">
        <f>Farm_results!M47</f>
        <v/>
      </c>
    </row>
    <row r="50">
      <c r="A50" t="inlineStr">
        <is>
          <t>Bulgaria</t>
        </is>
      </c>
      <c r="B50" s="8">
        <f>Farm_results!L30</f>
        <v/>
      </c>
      <c r="C50" s="8">
        <f>Farm_results!M30</f>
        <v/>
      </c>
      <c r="D50" s="8">
        <f>Farm_results!N30</f>
        <v/>
      </c>
      <c r="E50" s="8">
        <f>Farm_results!O30</f>
        <v/>
      </c>
      <c r="F50" s="8">
        <f>Farm_results!L48</f>
        <v/>
      </c>
      <c r="G50" s="8">
        <f>Farm_results!M48</f>
        <v/>
      </c>
    </row>
    <row r="51">
      <c r="A51" t="inlineStr">
        <is>
          <t>Ukraine</t>
        </is>
      </c>
      <c r="B51" s="8">
        <f>Farm_results!L31</f>
        <v/>
      </c>
      <c r="C51" s="8">
        <f>Farm_results!M31</f>
        <v/>
      </c>
      <c r="D51" s="8">
        <f>Farm_results!N31</f>
        <v/>
      </c>
      <c r="E51" s="8">
        <f>Farm_results!O31</f>
        <v/>
      </c>
      <c r="F51" s="8">
        <f>Farm_results!L49</f>
        <v/>
      </c>
      <c r="G51" s="8">
        <f>Farm_results!M49</f>
        <v/>
      </c>
    </row>
    <row r="54">
      <c r="A54" s="3" t="inlineStr">
        <is>
          <t>Table 4. Layer profile of food processing (NACE C10-C12), ADMA statistics mode</t>
        </is>
      </c>
    </row>
    <row r="55">
      <c r="A55" s="6" t="inlineStr">
        <is>
          <t>Unit</t>
        </is>
      </c>
      <c r="B55" s="6" t="inlineStr">
        <is>
          <t>C</t>
        </is>
      </c>
      <c r="C55" s="6" t="inlineStr">
        <is>
          <t>L1</t>
        </is>
      </c>
      <c r="D55" s="6" t="inlineStr">
        <is>
          <t>L2</t>
        </is>
      </c>
      <c r="E55" s="6" t="inlineStr">
        <is>
          <t>L3</t>
        </is>
      </c>
      <c r="F55" s="6" t="inlineStr">
        <is>
          <t>L4</t>
        </is>
      </c>
      <c r="G55" s="6" t="inlineStr">
        <is>
          <t>Mean of layers</t>
        </is>
      </c>
      <c r="H55" s="6" t="inlineStr">
        <is>
          <t>Weakest layer</t>
        </is>
      </c>
    </row>
    <row r="56">
      <c r="A56" t="inlineStr">
        <is>
          <t>EU-27</t>
        </is>
      </c>
      <c r="B56" s="8">
        <f>Processing_index!$S$4</f>
        <v/>
      </c>
      <c r="C56" s="8">
        <f>Processing_index!$T$4</f>
        <v/>
      </c>
      <c r="D56" s="8">
        <f>Processing_index!$U$4</f>
        <v/>
      </c>
      <c r="E56" s="8">
        <f>Processing_index!$V$4</f>
        <v/>
      </c>
      <c r="F56" s="8">
        <f>Processing_index!$W$4</f>
        <v/>
      </c>
      <c r="G56" s="9">
        <f>Processing_index!$Z$4</f>
        <v/>
      </c>
      <c r="H56">
        <f>Processing_index!$AB$4</f>
        <v/>
      </c>
    </row>
    <row r="57">
      <c r="A57" t="inlineStr">
        <is>
          <t>Germany</t>
        </is>
      </c>
      <c r="B57" s="8">
        <f>Processing_index!$S$5</f>
        <v/>
      </c>
      <c r="C57" s="8">
        <f>Processing_index!$T$5</f>
        <v/>
      </c>
      <c r="D57" s="8">
        <f>Processing_index!$U$5</f>
        <v/>
      </c>
      <c r="E57" s="8">
        <f>Processing_index!$V$5</f>
        <v/>
      </c>
      <c r="F57" s="8">
        <f>Processing_index!$W$5</f>
        <v/>
      </c>
      <c r="G57" s="9">
        <f>Processing_index!$Z$5</f>
        <v/>
      </c>
      <c r="H57">
        <f>Processing_index!$AB$5</f>
        <v/>
      </c>
    </row>
    <row r="58">
      <c r="A58" t="inlineStr">
        <is>
          <t>Lithuania</t>
        </is>
      </c>
      <c r="B58" s="8">
        <f>Processing_index!$S$11</f>
        <v/>
      </c>
      <c r="C58" s="8">
        <f>Processing_index!$T$11</f>
        <v/>
      </c>
      <c r="D58" s="8">
        <f>Processing_index!$U$11</f>
        <v/>
      </c>
      <c r="E58" s="8">
        <f>Processing_index!$V$11</f>
        <v/>
      </c>
      <c r="F58" s="8">
        <f>Processing_index!$W$11</f>
        <v/>
      </c>
      <c r="G58" s="9">
        <f>Processing_index!$Z$11</f>
        <v/>
      </c>
      <c r="H58">
        <f>Processing_index!$AB$11</f>
        <v/>
      </c>
    </row>
    <row r="59">
      <c r="A59" t="inlineStr">
        <is>
          <t>Czechia</t>
        </is>
      </c>
      <c r="B59" s="8">
        <f>Processing_index!$S$9</f>
        <v/>
      </c>
      <c r="C59" s="8">
        <f>Processing_index!$T$9</f>
        <v/>
      </c>
      <c r="D59" s="8">
        <f>Processing_index!$U$9</f>
        <v/>
      </c>
      <c r="E59" s="8">
        <f>Processing_index!$V$9</f>
        <v/>
      </c>
      <c r="F59" s="8">
        <f>Processing_index!$W$9</f>
        <v/>
      </c>
      <c r="G59" s="9">
        <f>Processing_index!$Z$9</f>
        <v/>
      </c>
      <c r="H59">
        <f>Processing_index!$AB$9</f>
        <v/>
      </c>
    </row>
    <row r="60">
      <c r="A60" t="inlineStr">
        <is>
          <t>Estonia</t>
        </is>
      </c>
      <c r="B60" s="8">
        <f>Processing_index!$S$13</f>
        <v/>
      </c>
      <c r="C60" s="8">
        <f>Processing_index!$T$13</f>
        <v/>
      </c>
      <c r="D60" s="8">
        <f>Processing_index!$U$13</f>
        <v/>
      </c>
      <c r="E60" s="8">
        <f>Processing_index!$V$13</f>
        <v/>
      </c>
      <c r="F60" s="8">
        <f>Processing_index!$W$13</f>
        <v/>
      </c>
      <c r="G60" s="9">
        <f>Processing_index!$Z$13</f>
        <v/>
      </c>
      <c r="H60">
        <f>Processing_index!$AB$13</f>
        <v/>
      </c>
    </row>
    <row r="61">
      <c r="A61" t="inlineStr">
        <is>
          <t>Latvia</t>
        </is>
      </c>
      <c r="B61" s="8">
        <f>Processing_index!$S$12</f>
        <v/>
      </c>
      <c r="C61" s="8">
        <f>Processing_index!$T$12</f>
        <v/>
      </c>
      <c r="D61" s="8">
        <f>Processing_index!$U$12</f>
        <v/>
      </c>
      <c r="E61" s="8">
        <f>Processing_index!$V$12</f>
        <v/>
      </c>
      <c r="F61" s="8">
        <f>Processing_index!$W$12</f>
        <v/>
      </c>
      <c r="G61" s="9">
        <f>Processing_index!$Z$12</f>
        <v/>
      </c>
      <c r="H61">
        <f>Processing_index!$AB$12</f>
        <v/>
      </c>
    </row>
    <row r="62">
      <c r="A62" t="inlineStr">
        <is>
          <t>Poland</t>
        </is>
      </c>
      <c r="B62" s="8">
        <f>Processing_index!$S$6</f>
        <v/>
      </c>
      <c r="C62" s="8">
        <f>Processing_index!$T$6</f>
        <v/>
      </c>
      <c r="D62" s="8">
        <f>Processing_index!$U$6</f>
        <v/>
      </c>
      <c r="E62" s="8">
        <f>Processing_index!$V$6</f>
        <v/>
      </c>
      <c r="F62" s="8">
        <f>Processing_index!$W$6</f>
        <v/>
      </c>
      <c r="G62" s="9">
        <f>Processing_index!$Z$6</f>
        <v/>
      </c>
      <c r="H62">
        <f>Processing_index!$AB$6</f>
        <v/>
      </c>
    </row>
    <row r="63">
      <c r="A63" t="inlineStr">
        <is>
          <t>Slovakia</t>
        </is>
      </c>
      <c r="B63" s="8">
        <f>Processing_index!$S$10</f>
        <v/>
      </c>
      <c r="C63" s="8">
        <f>Processing_index!$T$10</f>
        <v/>
      </c>
      <c r="D63" s="8">
        <f>Processing_index!$U$10</f>
        <v/>
      </c>
      <c r="E63" s="8">
        <f>Processing_index!$V$10</f>
        <v/>
      </c>
      <c r="F63" s="8">
        <f>Processing_index!$W$10</f>
        <v/>
      </c>
      <c r="G63" s="9">
        <f>Processing_index!$Z$10</f>
        <v/>
      </c>
      <c r="H63">
        <f>Processing_index!$AB$10</f>
        <v/>
      </c>
    </row>
    <row r="64">
      <c r="A64" t="inlineStr">
        <is>
          <t>Hungary</t>
        </is>
      </c>
      <c r="B64" s="8">
        <f>Processing_index!$S$7</f>
        <v/>
      </c>
      <c r="C64" s="8">
        <f>Processing_index!$T$7</f>
        <v/>
      </c>
      <c r="D64" s="8">
        <f>Processing_index!$U$7</f>
        <v/>
      </c>
      <c r="E64" s="8">
        <f>Processing_index!$V$7</f>
        <v/>
      </c>
      <c r="F64" s="8">
        <f>Processing_index!$W$7</f>
        <v/>
      </c>
      <c r="G64" s="9">
        <f>Processing_index!$Z$7</f>
        <v/>
      </c>
      <c r="H64">
        <f>Processing_index!$AB$7</f>
        <v/>
      </c>
    </row>
    <row r="65">
      <c r="A65" t="inlineStr">
        <is>
          <t>Romania</t>
        </is>
      </c>
      <c r="B65" s="8">
        <f>Processing_index!$S$8</f>
        <v/>
      </c>
      <c r="C65" s="8">
        <f>Processing_index!$T$8</f>
        <v/>
      </c>
      <c r="D65" s="8">
        <f>Processing_index!$U$8</f>
        <v/>
      </c>
      <c r="E65" s="8">
        <f>Processing_index!$V$8</f>
        <v/>
      </c>
      <c r="F65" s="8">
        <f>Processing_index!$W$8</f>
        <v/>
      </c>
      <c r="G65" s="9">
        <f>Processing_index!$Z$8</f>
        <v/>
      </c>
      <c r="H65">
        <f>Processing_index!$AB$8</f>
        <v/>
      </c>
    </row>
    <row r="66">
      <c r="A66" t="inlineStr">
        <is>
          <t>Ukraine</t>
        </is>
      </c>
      <c r="B66" s="8">
        <f>Processing_index!$S$15</f>
        <v/>
      </c>
      <c r="C66" s="8">
        <f>Processing_index!$T$15</f>
        <v/>
      </c>
      <c r="D66" s="8">
        <f>Processing_index!$U$15</f>
        <v/>
      </c>
      <c r="E66" s="8">
        <f>Processing_index!$V$15</f>
        <v/>
      </c>
      <c r="F66" s="8">
        <f>Processing_index!$W$15</f>
        <v/>
      </c>
      <c r="G66" s="9">
        <f>Processing_index!$Z$15</f>
        <v/>
      </c>
      <c r="H66">
        <f>Processing_index!$AB$15</f>
        <v/>
      </c>
    </row>
    <row r="67">
      <c r="A67" t="inlineStr">
        <is>
          <t>Bulgaria</t>
        </is>
      </c>
      <c r="B67" s="8">
        <f>Processing_index!$S$14</f>
        <v/>
      </c>
      <c r="C67" s="8">
        <f>Processing_index!$T$14</f>
        <v/>
      </c>
      <c r="D67" s="8">
        <f>Processing_index!$U$14</f>
        <v/>
      </c>
      <c r="E67" s="8">
        <f>Processing_index!$V$14</f>
        <v/>
      </c>
      <c r="F67" s="8">
        <f>Processing_index!$W$14</f>
        <v/>
      </c>
      <c r="G67" s="9">
        <f>Processing_index!$Z$14</f>
        <v/>
      </c>
      <c r="H67">
        <f>Processing_index!$AB$14</f>
        <v/>
      </c>
    </row>
    <row r="70">
      <c r="A70" s="3" t="inlineStr">
        <is>
          <t>Table 5. ADMI, maturity level and components outside the index, food processing</t>
        </is>
      </c>
    </row>
    <row r="71">
      <c r="A71" s="6" t="inlineStr">
        <is>
          <t>Unit</t>
        </is>
      </c>
      <c r="B71" s="6" t="inlineStr">
        <is>
          <t>Mean of layers</t>
        </is>
      </c>
      <c r="C71" s="6" t="inlineStr">
        <is>
          <t>Penalty</t>
        </is>
      </c>
      <c r="D71" s="6" t="inlineStr">
        <is>
          <t>ADMI</t>
        </is>
      </c>
      <c r="E71" s="6" t="inlineStr">
        <is>
          <t>Level</t>
        </is>
      </c>
      <c r="F71" s="6" t="inlineStr">
        <is>
          <t>DM_I</t>
        </is>
      </c>
      <c r="G71" s="6" t="inlineStr">
        <is>
          <t>DM_S</t>
        </is>
      </c>
    </row>
    <row r="72">
      <c r="A72" t="inlineStr">
        <is>
          <t>EU-27</t>
        </is>
      </c>
      <c r="B72" s="9">
        <f>Processing_index!$Z$4</f>
        <v/>
      </c>
      <c r="C72" s="9">
        <f>Processing_index!$AC$4</f>
        <v/>
      </c>
      <c r="D72" s="9">
        <f>Processing_index!$AD$4</f>
        <v/>
      </c>
      <c r="E72" s="10">
        <f>Processing_index!$AE$4</f>
        <v/>
      </c>
      <c r="F72" s="8">
        <f>Processing_index!$X$4</f>
        <v/>
      </c>
      <c r="G72" s="8">
        <f>Processing_index!$Y$4</f>
        <v/>
      </c>
    </row>
    <row r="73">
      <c r="A73" t="inlineStr">
        <is>
          <t>Germany</t>
        </is>
      </c>
      <c r="B73" s="9">
        <f>Processing_index!$Z$5</f>
        <v/>
      </c>
      <c r="C73" s="9">
        <f>Processing_index!$AC$5</f>
        <v/>
      </c>
      <c r="D73" s="9">
        <f>Processing_index!$AD$5</f>
        <v/>
      </c>
      <c r="E73" s="10">
        <f>Processing_index!$AE$5</f>
        <v/>
      </c>
      <c r="F73" s="8">
        <f>Processing_index!$X$5</f>
        <v/>
      </c>
      <c r="G73" s="8">
        <f>Processing_index!$Y$5</f>
        <v/>
      </c>
    </row>
    <row r="74">
      <c r="A74" t="inlineStr">
        <is>
          <t>Lithuania</t>
        </is>
      </c>
      <c r="B74" s="9">
        <f>Processing_index!$Z$11</f>
        <v/>
      </c>
      <c r="C74" s="9">
        <f>Processing_index!$AC$11</f>
        <v/>
      </c>
      <c r="D74" s="9">
        <f>Processing_index!$AD$11</f>
        <v/>
      </c>
      <c r="E74" s="10">
        <f>Processing_index!$AE$11</f>
        <v/>
      </c>
      <c r="F74" s="8">
        <f>Processing_index!$X$11</f>
        <v/>
      </c>
      <c r="G74" s="8">
        <f>Processing_index!$Y$11</f>
        <v/>
      </c>
    </row>
    <row r="75">
      <c r="A75" t="inlineStr">
        <is>
          <t>Czechia</t>
        </is>
      </c>
      <c r="B75" s="9">
        <f>Processing_index!$Z$9</f>
        <v/>
      </c>
      <c r="C75" s="9">
        <f>Processing_index!$AC$9</f>
        <v/>
      </c>
      <c r="D75" s="9">
        <f>Processing_index!$AD$9</f>
        <v/>
      </c>
      <c r="E75" s="10">
        <f>Processing_index!$AE$9</f>
        <v/>
      </c>
      <c r="F75" s="8">
        <f>Processing_index!$X$9</f>
        <v/>
      </c>
      <c r="G75" s="8">
        <f>Processing_index!$Y$9</f>
        <v/>
      </c>
    </row>
    <row r="76">
      <c r="A76" t="inlineStr">
        <is>
          <t>Estonia</t>
        </is>
      </c>
      <c r="B76" s="9">
        <f>Processing_index!$Z$13</f>
        <v/>
      </c>
      <c r="C76" s="9">
        <f>Processing_index!$AC$13</f>
        <v/>
      </c>
      <c r="D76" s="9">
        <f>Processing_index!$AD$13</f>
        <v/>
      </c>
      <c r="E76" s="10">
        <f>Processing_index!$AE$13</f>
        <v/>
      </c>
      <c r="F76" s="8">
        <f>Processing_index!$X$13</f>
        <v/>
      </c>
      <c r="G76" s="8">
        <f>Processing_index!$Y$13</f>
        <v/>
      </c>
    </row>
    <row r="77">
      <c r="A77" t="inlineStr">
        <is>
          <t>Latvia</t>
        </is>
      </c>
      <c r="B77" s="9">
        <f>Processing_index!$Z$12</f>
        <v/>
      </c>
      <c r="C77" s="9">
        <f>Processing_index!$AC$12</f>
        <v/>
      </c>
      <c r="D77" s="9">
        <f>Processing_index!$AD$12</f>
        <v/>
      </c>
      <c r="E77" s="10">
        <f>Processing_index!$AE$12</f>
        <v/>
      </c>
      <c r="F77" s="8">
        <f>Processing_index!$X$12</f>
        <v/>
      </c>
      <c r="G77" s="8">
        <f>Processing_index!$Y$12</f>
        <v/>
      </c>
    </row>
    <row r="78">
      <c r="A78" t="inlineStr">
        <is>
          <t>Poland</t>
        </is>
      </c>
      <c r="B78" s="9">
        <f>Processing_index!$Z$6</f>
        <v/>
      </c>
      <c r="C78" s="9">
        <f>Processing_index!$AC$6</f>
        <v/>
      </c>
      <c r="D78" s="9">
        <f>Processing_index!$AD$6</f>
        <v/>
      </c>
      <c r="E78" s="10">
        <f>Processing_index!$AE$6</f>
        <v/>
      </c>
      <c r="F78" s="8">
        <f>Processing_index!$X$6</f>
        <v/>
      </c>
      <c r="G78" s="8">
        <f>Processing_index!$Y$6</f>
        <v/>
      </c>
    </row>
    <row r="79">
      <c r="A79" t="inlineStr">
        <is>
          <t>Slovakia</t>
        </is>
      </c>
      <c r="B79" s="9">
        <f>Processing_index!$Z$10</f>
        <v/>
      </c>
      <c r="C79" s="9">
        <f>Processing_index!$AC$10</f>
        <v/>
      </c>
      <c r="D79" s="9">
        <f>Processing_index!$AD$10</f>
        <v/>
      </c>
      <c r="E79" s="10">
        <f>Processing_index!$AE$10</f>
        <v/>
      </c>
      <c r="F79" s="8">
        <f>Processing_index!$X$10</f>
        <v/>
      </c>
      <c r="G79" s="8">
        <f>Processing_index!$Y$10</f>
        <v/>
      </c>
    </row>
    <row r="80">
      <c r="A80" t="inlineStr">
        <is>
          <t>Hungary</t>
        </is>
      </c>
      <c r="B80" s="9">
        <f>Processing_index!$Z$7</f>
        <v/>
      </c>
      <c r="C80" s="9">
        <f>Processing_index!$AC$7</f>
        <v/>
      </c>
      <c r="D80" s="9">
        <f>Processing_index!$AD$7</f>
        <v/>
      </c>
      <c r="E80" s="10">
        <f>Processing_index!$AE$7</f>
        <v/>
      </c>
      <c r="F80" s="8">
        <f>Processing_index!$X$7</f>
        <v/>
      </c>
      <c r="G80" s="8">
        <f>Processing_index!$Y$7</f>
        <v/>
      </c>
    </row>
    <row r="81">
      <c r="A81" t="inlineStr">
        <is>
          <t>Romania</t>
        </is>
      </c>
      <c r="B81" s="9">
        <f>Processing_index!$Z$8</f>
        <v/>
      </c>
      <c r="C81" s="9">
        <f>Processing_index!$AC$8</f>
        <v/>
      </c>
      <c r="D81" s="9">
        <f>Processing_index!$AD$8</f>
        <v/>
      </c>
      <c r="E81" s="10">
        <f>Processing_index!$AE$8</f>
        <v/>
      </c>
      <c r="F81" s="8">
        <f>Processing_index!$X$8</f>
        <v/>
      </c>
      <c r="G81" s="8">
        <f>Processing_index!$Y$8</f>
        <v/>
      </c>
    </row>
    <row r="82">
      <c r="A82" t="inlineStr">
        <is>
          <t>Ukraine</t>
        </is>
      </c>
      <c r="B82" s="9">
        <f>Processing_index!$Z$15</f>
        <v/>
      </c>
      <c r="C82" s="9">
        <f>Processing_index!$AC$15</f>
        <v/>
      </c>
      <c r="D82" s="9">
        <f>Processing_index!$AD$15</f>
        <v/>
      </c>
      <c r="E82" s="10">
        <f>Processing_index!$AE$15</f>
        <v/>
      </c>
      <c r="F82" s="8">
        <f>Processing_index!$X$15</f>
        <v/>
      </c>
      <c r="G82" s="8">
        <f>Processing_index!$Y$15</f>
        <v/>
      </c>
    </row>
    <row r="83">
      <c r="A83" t="inlineStr">
        <is>
          <t>Bulgaria</t>
        </is>
      </c>
      <c r="B83" s="9">
        <f>Processing_index!$Z$14</f>
        <v/>
      </c>
      <c r="C83" s="9">
        <f>Processing_index!$AC$14</f>
        <v/>
      </c>
      <c r="D83" s="9">
        <f>Processing_index!$AD$14</f>
        <v/>
      </c>
      <c r="E83" s="10">
        <f>Processing_index!$AE$14</f>
        <v/>
      </c>
      <c r="F83" s="8">
        <f>Processing_index!$X$14</f>
        <v/>
      </c>
      <c r="G83" s="8">
        <f>Processing_index!$Y$14</f>
        <v/>
      </c>
    </row>
    <row r="86">
      <c r="A86" s="3" t="inlineStr">
        <is>
          <t>Table 6. Ranking of the new EU members and Ukraine by ADMI, TOPSIS and min-max normalisation</t>
        </is>
      </c>
    </row>
    <row r="87">
      <c r="A87" s="6" t="inlineStr">
        <is>
          <t>ADMI rank</t>
        </is>
      </c>
      <c r="B87" s="6" t="inlineStr">
        <is>
          <t>Unit</t>
        </is>
      </c>
      <c r="C87" s="6" t="inlineStr">
        <is>
          <t>ADMI</t>
        </is>
      </c>
      <c r="D87" s="6" t="inlineStr">
        <is>
          <t>TOPSIS closeness</t>
        </is>
      </c>
      <c r="E87" s="6" t="inlineStr">
        <is>
          <t>TOPSIS rank</t>
        </is>
      </c>
      <c r="F87" s="6" t="inlineStr">
        <is>
          <t>TOPSIS rank (equal weights)</t>
        </is>
      </c>
      <c r="G87" s="6" t="inlineStr">
        <is>
          <t>ADMI min-max</t>
        </is>
      </c>
      <c r="H87" s="6" t="inlineStr">
        <is>
          <t>Min-max rank</t>
        </is>
      </c>
    </row>
    <row r="88">
      <c r="A88" s="10">
        <f>Processing_index!$AF$11</f>
        <v/>
      </c>
      <c r="B88" t="inlineStr">
        <is>
          <t>Lithuania</t>
        </is>
      </c>
      <c r="C88" s="9">
        <f>Processing_index!$AD$11</f>
        <v/>
      </c>
      <c r="D88" s="9">
        <f>TOPSIS!$I$28</f>
        <v/>
      </c>
      <c r="E88" s="10">
        <f>TOPSIS!$J$28</f>
        <v/>
      </c>
      <c r="F88" s="10">
        <f>TOPSIS!$J$46</f>
        <v/>
      </c>
      <c r="G88" s="9">
        <f>Normalisation_check!$AD$11</f>
        <v/>
      </c>
      <c r="H88" s="10">
        <f>Normalisation_check!$AF$11</f>
        <v/>
      </c>
    </row>
    <row r="89">
      <c r="A89" s="10">
        <f>Processing_index!$AF$9</f>
        <v/>
      </c>
      <c r="B89" t="inlineStr">
        <is>
          <t>Czechia</t>
        </is>
      </c>
      <c r="C89" s="9">
        <f>Processing_index!$AD$9</f>
        <v/>
      </c>
      <c r="D89" s="9">
        <f>TOPSIS!$I$26</f>
        <v/>
      </c>
      <c r="E89" s="10">
        <f>TOPSIS!$J$26</f>
        <v/>
      </c>
      <c r="F89" s="10">
        <f>TOPSIS!$J$44</f>
        <v/>
      </c>
      <c r="G89" s="9">
        <f>Normalisation_check!$AD$9</f>
        <v/>
      </c>
      <c r="H89" s="10">
        <f>Normalisation_check!$AF$9</f>
        <v/>
      </c>
    </row>
    <row r="90">
      <c r="A90" s="10">
        <f>Processing_index!$AF$13</f>
        <v/>
      </c>
      <c r="B90" t="inlineStr">
        <is>
          <t>Estonia</t>
        </is>
      </c>
      <c r="C90" s="9">
        <f>Processing_index!$AD$13</f>
        <v/>
      </c>
      <c r="D90" s="9">
        <f>TOPSIS!$I$30</f>
        <v/>
      </c>
      <c r="E90" s="10">
        <f>TOPSIS!$J$30</f>
        <v/>
      </c>
      <c r="F90" s="10">
        <f>TOPSIS!$J$48</f>
        <v/>
      </c>
      <c r="G90" s="9">
        <f>Normalisation_check!$AD$13</f>
        <v/>
      </c>
      <c r="H90" s="10">
        <f>Normalisation_check!$AF$13</f>
        <v/>
      </c>
    </row>
    <row r="91">
      <c r="A91" s="10">
        <f>Processing_index!$AF$12</f>
        <v/>
      </c>
      <c r="B91" t="inlineStr">
        <is>
          <t>Latvia</t>
        </is>
      </c>
      <c r="C91" s="9">
        <f>Processing_index!$AD$12</f>
        <v/>
      </c>
      <c r="D91" s="9">
        <f>TOPSIS!$I$29</f>
        <v/>
      </c>
      <c r="E91" s="10">
        <f>TOPSIS!$J$29</f>
        <v/>
      </c>
      <c r="F91" s="10">
        <f>TOPSIS!$J$47</f>
        <v/>
      </c>
      <c r="G91" s="9">
        <f>Normalisation_check!$AD$12</f>
        <v/>
      </c>
      <c r="H91" s="10">
        <f>Normalisation_check!$AF$12</f>
        <v/>
      </c>
    </row>
    <row r="92">
      <c r="A92" s="10">
        <f>Processing_index!$AF$6</f>
        <v/>
      </c>
      <c r="B92" t="inlineStr">
        <is>
          <t>Poland</t>
        </is>
      </c>
      <c r="C92" s="9">
        <f>Processing_index!$AD$6</f>
        <v/>
      </c>
      <c r="D92" s="9">
        <f>TOPSIS!$I$23</f>
        <v/>
      </c>
      <c r="E92" s="10">
        <f>TOPSIS!$J$23</f>
        <v/>
      </c>
      <c r="F92" s="10">
        <f>TOPSIS!$J$41</f>
        <v/>
      </c>
      <c r="G92" s="9">
        <f>Normalisation_check!$AD$6</f>
        <v/>
      </c>
      <c r="H92" s="10">
        <f>Normalisation_check!$AF$6</f>
        <v/>
      </c>
    </row>
    <row r="93">
      <c r="A93" s="10">
        <f>Processing_index!$AF$10</f>
        <v/>
      </c>
      <c r="B93" t="inlineStr">
        <is>
          <t>Slovakia</t>
        </is>
      </c>
      <c r="C93" s="9">
        <f>Processing_index!$AD$10</f>
        <v/>
      </c>
      <c r="D93" s="9">
        <f>TOPSIS!$I$27</f>
        <v/>
      </c>
      <c r="E93" s="10">
        <f>TOPSIS!$J$27</f>
        <v/>
      </c>
      <c r="F93" s="10">
        <f>TOPSIS!$J$45</f>
        <v/>
      </c>
      <c r="G93" s="9">
        <f>Normalisation_check!$AD$10</f>
        <v/>
      </c>
      <c r="H93" s="10">
        <f>Normalisation_check!$AF$10</f>
        <v/>
      </c>
    </row>
    <row r="94">
      <c r="A94" s="10">
        <f>Processing_index!$AF$7</f>
        <v/>
      </c>
      <c r="B94" t="inlineStr">
        <is>
          <t>Hungary</t>
        </is>
      </c>
      <c r="C94" s="9">
        <f>Processing_index!$AD$7</f>
        <v/>
      </c>
      <c r="D94" s="9">
        <f>TOPSIS!$I$24</f>
        <v/>
      </c>
      <c r="E94" s="10">
        <f>TOPSIS!$J$24</f>
        <v/>
      </c>
      <c r="F94" s="10">
        <f>TOPSIS!$J$42</f>
        <v/>
      </c>
      <c r="G94" s="9">
        <f>Normalisation_check!$AD$7</f>
        <v/>
      </c>
      <c r="H94" s="10">
        <f>Normalisation_check!$AF$7</f>
        <v/>
      </c>
    </row>
    <row r="95">
      <c r="A95" s="10">
        <f>Processing_index!$AF$8</f>
        <v/>
      </c>
      <c r="B95" t="inlineStr">
        <is>
          <t>Romania</t>
        </is>
      </c>
      <c r="C95" s="9">
        <f>Processing_index!$AD$8</f>
        <v/>
      </c>
      <c r="D95" s="9">
        <f>TOPSIS!$I$25</f>
        <v/>
      </c>
      <c r="E95" s="10">
        <f>TOPSIS!$J$25</f>
        <v/>
      </c>
      <c r="F95" s="10">
        <f>TOPSIS!$J$43</f>
        <v/>
      </c>
      <c r="G95" s="9">
        <f>Normalisation_check!$AD$8</f>
        <v/>
      </c>
      <c r="H95" s="10">
        <f>Normalisation_check!$AF$8</f>
        <v/>
      </c>
    </row>
    <row r="96">
      <c r="A96" s="10">
        <f>Processing_index!$AF$15</f>
        <v/>
      </c>
      <c r="B96" t="inlineStr">
        <is>
          <t>Ukraine</t>
        </is>
      </c>
      <c r="C96" s="9">
        <f>Processing_index!$AD$15</f>
        <v/>
      </c>
      <c r="D96" s="9">
        <f>TOPSIS!$I$32</f>
        <v/>
      </c>
      <c r="E96" s="10">
        <f>TOPSIS!$J$32</f>
        <v/>
      </c>
      <c r="F96" s="10">
        <f>TOPSIS!$J$50</f>
        <v/>
      </c>
      <c r="G96" s="9">
        <f>Normalisation_check!$AD$15</f>
        <v/>
      </c>
      <c r="H96" s="10">
        <f>Normalisation_check!$AF$15</f>
        <v/>
      </c>
    </row>
    <row r="97">
      <c r="A97" s="10">
        <f>Processing_index!$AF$14</f>
        <v/>
      </c>
      <c r="B97" t="inlineStr">
        <is>
          <t>Bulgaria</t>
        </is>
      </c>
      <c r="C97" s="9">
        <f>Processing_index!$AD$14</f>
        <v/>
      </c>
      <c r="D97" s="9">
        <f>TOPSIS!$I$31</f>
        <v/>
      </c>
      <c r="E97" s="10">
        <f>TOPSIS!$J$31</f>
        <v/>
      </c>
      <c r="F97" s="10">
        <f>TOPSIS!$J$49</f>
        <v/>
      </c>
      <c r="G97" s="9">
        <f>Normalisation_check!$AD$14</f>
        <v/>
      </c>
      <c r="H97" s="10">
        <f>Normalisation_check!$AF$14</f>
        <v/>
      </c>
    </row>
    <row r="98">
      <c r="A98" s="11" t="inlineStr">
        <is>
          <t>Entropy weights</t>
        </is>
      </c>
      <c r="B98" s="11" t="inlineStr">
        <is>
          <t>C</t>
        </is>
      </c>
      <c r="C98" s="11" t="inlineStr">
        <is>
          <t>L1</t>
        </is>
      </c>
      <c r="D98" s="11" t="inlineStr">
        <is>
          <t>L2</t>
        </is>
      </c>
      <c r="E98" s="11" t="inlineStr">
        <is>
          <t>L3</t>
        </is>
      </c>
      <c r="F98" s="11" t="inlineStr">
        <is>
          <t>L4</t>
        </is>
      </c>
    </row>
    <row r="99">
      <c r="B99" s="9">
        <f>TOPSIS!$B$18</f>
        <v/>
      </c>
      <c r="C99" s="9">
        <f>TOPSIS!$C$18</f>
        <v/>
      </c>
      <c r="D99" s="9">
        <f>TOPSIS!$D$18</f>
        <v/>
      </c>
      <c r="E99" s="9">
        <f>TOPSIS!$E$18</f>
        <v/>
      </c>
      <c r="F99" s="9">
        <f>TOPSIS!$F$18</f>
        <v/>
      </c>
    </row>
    <row r="100">
      <c r="A100" t="inlineStr">
        <is>
          <t>Spearman ADMI vs TOPSIS</t>
        </is>
      </c>
      <c r="B100" s="9">
        <f>TOPSIS!$B$60</f>
        <v/>
      </c>
    </row>
    <row r="101">
      <c r="A101" t="inlineStr">
        <is>
          <t>Pearson ADMI vs TOPSIS closeness</t>
        </is>
      </c>
      <c r="B101" s="9">
        <f>TOPSIS!$B$61</f>
        <v/>
      </c>
    </row>
    <row r="102">
      <c r="A102" t="inlineStr">
        <is>
          <t>Spearman TOPSIS entropy vs equal weights</t>
        </is>
      </c>
      <c r="B102" s="9">
        <f>TOPSIS!$B$62</f>
        <v/>
      </c>
    </row>
    <row r="105">
      <c r="A105" s="3" t="inlineStr">
        <is>
          <t>Table 7. Sensitivity of the ADMI ranking to the decisions of the method</t>
        </is>
      </c>
    </row>
    <row r="106">
      <c r="A106" s="6" t="inlineStr">
        <is>
          <t>Check</t>
        </is>
      </c>
      <c r="B106" s="6" t="inlineStr">
        <is>
          <t>Variants</t>
        </is>
      </c>
      <c r="C106" s="6" t="inlineStr">
        <is>
          <t>Minimum Spearman with the baseline</t>
        </is>
      </c>
      <c r="D106" s="6" t="inlineStr">
        <is>
          <t>Rank changes</t>
        </is>
      </c>
    </row>
    <row r="107">
      <c r="A107" t="inlineStr">
        <is>
          <t>Penalty strength alpha from 0 to 1.0</t>
        </is>
      </c>
      <c r="B107">
        <f>COUNT(Sensitivity!$E$16,Sensitivity!$G$16,Sensitivity!$I$16,Sensitivity!$K$16,Sensitivity!$M$16,Sensitivity!$O$16)</f>
        <v/>
      </c>
      <c r="C107" s="9">
        <f>MIN(Sensitivity!$E$16,Sensitivity!$G$16,Sensitivity!$I$16,Sensitivity!$K$16,Sensitivity!$M$16,Sensitivity!$O$16)</f>
        <v/>
      </c>
      <c r="D107" t="inlineStr">
        <is>
          <t>Poland and Latvia for alpha above 0.53</t>
        </is>
      </c>
    </row>
    <row r="108">
      <c r="A108" t="inlineStr">
        <is>
          <t>Threshold delta from 0.25 to 0.55</t>
        </is>
      </c>
      <c r="B108">
        <f>COUNT(Sensitivity!$E$34,Sensitivity!$G$34,Sensitivity!$I$34,Sensitivity!$K$34,Sensitivity!$M$34)</f>
        <v/>
      </c>
      <c r="C108" s="9">
        <f>MIN(Sensitivity!$E$34,Sensitivity!$G$34,Sensitivity!$I$34,Sensitivity!$K$34,Sensitivity!$M$34)</f>
        <v/>
      </c>
      <c r="D108" t="inlineStr">
        <is>
          <t>none</t>
        </is>
      </c>
    </row>
    <row r="109">
      <c r="A109" t="inlineStr">
        <is>
          <t>Geometric mean of the layers</t>
        </is>
      </c>
      <c r="B109">
        <f>COUNT(Sensitivity!$B$51)</f>
        <v/>
      </c>
      <c r="C109" s="9">
        <f>MIN(Sensitivity!$B$51)</f>
        <v/>
      </c>
      <c r="D109" t="inlineStr">
        <is>
          <t>none</t>
        </is>
      </c>
    </row>
    <row r="110">
      <c r="A110" t="inlineStr">
        <is>
          <t>One of the 13 indicators removed</t>
        </is>
      </c>
      <c r="B110">
        <f>COUNT(Sensitivity!$B$84,Sensitivity!$B$99,Sensitivity!$B$114,Sensitivity!$B$129,Sensitivity!$B$144,Sensitivity!$B$159,Sensitivity!$B$174,Sensitivity!$B$189,Sensitivity!$B$204,Sensitivity!$B$219,Sensitivity!$B$234,Sensitivity!$B$249,Sensitivity!$B$264)</f>
        <v/>
      </c>
      <c r="C110" s="9">
        <f>MIN(Sensitivity!$B$84,Sensitivity!$B$99,Sensitivity!$B$114,Sensitivity!$B$129,Sensitivity!$B$144,Sensitivity!$B$159,Sensitivity!$B$174,Sensitivity!$B$189,Sensitivity!$B$204,Sensitivity!$B$219,Sensitivity!$B$234,Sensitivity!$B$249,Sensitivity!$B$264)</f>
        <v/>
      </c>
      <c r="D110" t="inlineStr">
        <is>
          <t>Poland and Latvia in 6 cases, Ukraine and Bulgaria in 2, single swaps in the middle of the group</t>
        </is>
      </c>
    </row>
    <row r="111">
      <c r="A111" t="inlineStr">
        <is>
          <t>One of the five layers removed</t>
        </is>
      </c>
      <c r="B111">
        <f>COUNT(Sensitivity!$B$288,Sensitivity!$B$303,Sensitivity!$B$318,Sensitivity!$B$333,Sensitivity!$B$348)</f>
        <v/>
      </c>
      <c r="C111" s="9">
        <f>MIN(Sensitivity!$B$288,Sensitivity!$B$303,Sensitivity!$B$318,Sensitivity!$B$333,Sensitivity!$B$348)</f>
        <v/>
      </c>
      <c r="D111" t="inlineStr">
        <is>
          <t>without L4 three swaps in the middle of the group, without L1 Ukraine and Bulgaria, Poland and Slovakia</t>
        </is>
      </c>
    </row>
    <row r="112">
      <c r="A112" t="inlineStr">
        <is>
          <t>Only pairs with a year gap of at most one</t>
        </is>
      </c>
      <c r="B112">
        <f>COUNT(Sensitivity!$B$367)</f>
        <v/>
      </c>
      <c r="C112" s="9">
        <f>MIN(Sensitivity!$B$367)</f>
        <v/>
      </c>
      <c r="D112" t="inlineStr">
        <is>
          <t>Ukraine and Bulgaria</t>
        </is>
      </c>
    </row>
    <row r="113">
      <c r="A113" t="inlineStr">
        <is>
          <t>Device indicator moved from L3 to L1</t>
        </is>
      </c>
      <c r="B113">
        <f>COUNT(Sensitivity!$B$385)</f>
        <v/>
      </c>
      <c r="C113" s="9">
        <f>MIN(Sensitivity!$B$385)</f>
        <v/>
      </c>
      <c r="D113" t="inlineStr">
        <is>
          <t>Czechia and Estonia</t>
        </is>
      </c>
    </row>
    <row r="116">
      <c r="A116" s="3" t="inlineStr">
        <is>
          <t>Table 8. Units relative to EU-27 and concentration of digital technologies in large holdings</t>
        </is>
      </c>
    </row>
    <row r="117">
      <c r="A117" s="6" t="inlineStr">
        <is>
          <t>Unit</t>
        </is>
      </c>
      <c r="B117" s="6" t="inlineStr">
        <is>
          <t>ADMI / EU-27</t>
        </is>
      </c>
      <c r="C117" s="6" t="inlineStr">
        <is>
          <t>DM_C / EU-27</t>
        </is>
      </c>
      <c r="D117" s="6" t="inlineStr">
        <is>
          <t>DM_L3 / EU-27</t>
        </is>
      </c>
      <c r="E117" s="6" t="inlineStr">
        <is>
          <t>Large / all holdings</t>
        </is>
      </c>
    </row>
    <row r="118">
      <c r="A118" t="inlineStr">
        <is>
          <t>EU-27</t>
        </is>
      </c>
      <c r="B118" s="8">
        <f>Transition_checks!$B$4</f>
        <v/>
      </c>
      <c r="C118" s="8">
        <f>Transition_checks!$C$4</f>
        <v/>
      </c>
      <c r="D118" s="8">
        <f>Transition_checks!$D$4</f>
        <v/>
      </c>
      <c r="E118" s="7">
        <f>Transition_checks!$K$4</f>
        <v/>
      </c>
    </row>
    <row r="119">
      <c r="A119" t="inlineStr">
        <is>
          <t>Germany</t>
        </is>
      </c>
      <c r="B119" s="8">
        <f>Transition_checks!$B$5</f>
        <v/>
      </c>
      <c r="C119" s="8">
        <f>Transition_checks!$C$5</f>
        <v/>
      </c>
      <c r="D119" s="8">
        <f>Transition_checks!$D$5</f>
        <v/>
      </c>
      <c r="E119" s="7">
        <f>Transition_checks!$K$5</f>
        <v/>
      </c>
    </row>
    <row r="120">
      <c r="A120" t="inlineStr">
        <is>
          <t>Lithuania</t>
        </is>
      </c>
      <c r="B120" s="8">
        <f>Transition_checks!$B$11</f>
        <v/>
      </c>
      <c r="C120" s="8">
        <f>Transition_checks!$C$11</f>
        <v/>
      </c>
      <c r="D120" s="8">
        <f>Transition_checks!$D$11</f>
        <v/>
      </c>
      <c r="E120" s="7">
        <f>Transition_checks!$K$11</f>
        <v/>
      </c>
    </row>
    <row r="121">
      <c r="A121" t="inlineStr">
        <is>
          <t>Czechia</t>
        </is>
      </c>
      <c r="B121" s="8">
        <f>Transition_checks!$B$9</f>
        <v/>
      </c>
      <c r="C121" s="8">
        <f>Transition_checks!$C$9</f>
        <v/>
      </c>
      <c r="D121" s="8">
        <f>Transition_checks!$D$9</f>
        <v/>
      </c>
      <c r="E121" s="7">
        <f>Transition_checks!$K$9</f>
        <v/>
      </c>
    </row>
    <row r="122">
      <c r="A122" t="inlineStr">
        <is>
          <t>Estonia</t>
        </is>
      </c>
      <c r="B122" s="8">
        <f>Transition_checks!$B$13</f>
        <v/>
      </c>
      <c r="C122" s="8">
        <f>Transition_checks!$C$13</f>
        <v/>
      </c>
      <c r="D122" s="8">
        <f>Transition_checks!$D$13</f>
        <v/>
      </c>
      <c r="E122" s="7">
        <f>Transition_checks!$K$13</f>
        <v/>
      </c>
    </row>
    <row r="123">
      <c r="A123" t="inlineStr">
        <is>
          <t>Latvia</t>
        </is>
      </c>
      <c r="B123" s="8">
        <f>Transition_checks!$B$12</f>
        <v/>
      </c>
      <c r="C123" s="8">
        <f>Transition_checks!$C$12</f>
        <v/>
      </c>
      <c r="D123" s="8">
        <f>Transition_checks!$D$12</f>
        <v/>
      </c>
      <c r="E123" s="7">
        <f>Transition_checks!$K$12</f>
        <v/>
      </c>
    </row>
    <row r="124">
      <c r="A124" t="inlineStr">
        <is>
          <t>Poland</t>
        </is>
      </c>
      <c r="B124" s="8">
        <f>Transition_checks!$B$6</f>
        <v/>
      </c>
      <c r="C124" s="8">
        <f>Transition_checks!$C$6</f>
        <v/>
      </c>
      <c r="D124" s="8">
        <f>Transition_checks!$D$6</f>
        <v/>
      </c>
      <c r="E124" s="7">
        <f>Transition_checks!$K$6</f>
        <v/>
      </c>
    </row>
    <row r="125">
      <c r="A125" t="inlineStr">
        <is>
          <t>Slovakia</t>
        </is>
      </c>
      <c r="B125" s="8">
        <f>Transition_checks!$B$10</f>
        <v/>
      </c>
      <c r="C125" s="8">
        <f>Transition_checks!$C$10</f>
        <v/>
      </c>
      <c r="D125" s="8">
        <f>Transition_checks!$D$10</f>
        <v/>
      </c>
      <c r="E125" s="7">
        <f>Transition_checks!$K$10</f>
        <v/>
      </c>
    </row>
    <row r="126">
      <c r="A126" t="inlineStr">
        <is>
          <t>Hungary</t>
        </is>
      </c>
      <c r="B126" s="8">
        <f>Transition_checks!$B$7</f>
        <v/>
      </c>
      <c r="C126" s="8">
        <f>Transition_checks!$C$7</f>
        <v/>
      </c>
      <c r="D126" s="8">
        <f>Transition_checks!$D$7</f>
        <v/>
      </c>
      <c r="E126" s="7">
        <f>Transition_checks!$K$7</f>
        <v/>
      </c>
    </row>
    <row r="127">
      <c r="A127" t="inlineStr">
        <is>
          <t>Romania</t>
        </is>
      </c>
      <c r="B127" s="8">
        <f>Transition_checks!$B$8</f>
        <v/>
      </c>
      <c r="C127" s="8">
        <f>Transition_checks!$C$8</f>
        <v/>
      </c>
      <c r="D127" s="8">
        <f>Transition_checks!$D$8</f>
        <v/>
      </c>
      <c r="E127" s="7">
        <f>Transition_checks!$K$8</f>
        <v/>
      </c>
    </row>
    <row r="128">
      <c r="A128" t="inlineStr">
        <is>
          <t>Ukraine</t>
        </is>
      </c>
      <c r="B128" s="8">
        <f>Transition_checks!$B$15</f>
        <v/>
      </c>
      <c r="C128" s="8">
        <f>Transition_checks!$C$15</f>
        <v/>
      </c>
      <c r="D128" s="8">
        <f>Transition_checks!$D$15</f>
        <v/>
      </c>
      <c r="E128" t="inlineStr">
        <is>
          <t>n/a</t>
        </is>
      </c>
    </row>
    <row r="129">
      <c r="A129" t="inlineStr">
        <is>
          <t>Bulgaria</t>
        </is>
      </c>
      <c r="B129" s="8">
        <f>Transition_checks!$B$14</f>
        <v/>
      </c>
      <c r="C129" s="8">
        <f>Transition_checks!$C$14</f>
        <v/>
      </c>
      <c r="D129" s="8">
        <f>Transition_checks!$D$14</f>
        <v/>
      </c>
      <c r="E129" s="7">
        <f>Transition_checks!$K$14</f>
        <v/>
      </c>
    </row>
    <row r="130">
      <c r="A130" s="11" t="inlineStr">
        <is>
          <t>New members, median</t>
        </is>
      </c>
      <c r="B130" s="8">
        <f>Transition_checks!$B$17</f>
        <v/>
      </c>
      <c r="C130" s="8">
        <f>Transition_checks!$B$18</f>
        <v/>
      </c>
      <c r="D130" s="8">
        <f>Transition_checks!$B$19</f>
        <v/>
      </c>
      <c r="E130" s="7">
        <f>Transition_checks!$B$20</f>
        <v/>
      </c>
    </row>
    <row r="133">
      <c r="A133" s="3" t="inlineStr">
        <is>
          <t>Table A1. Share of farms using digital technologies, %</t>
        </is>
      </c>
    </row>
    <row r="134">
      <c r="A134" s="6" t="inlineStr">
        <is>
          <t>Technology</t>
        </is>
      </c>
      <c r="B134" s="6" t="inlineStr">
        <is>
          <t>Ukraine 2025*</t>
        </is>
      </c>
      <c r="C134" s="6" t="inlineStr">
        <is>
          <t>EU-27 all</t>
        </is>
      </c>
      <c r="D134" s="6" t="inlineStr">
        <is>
          <t>EU-27 large</t>
        </is>
      </c>
      <c r="E134" s="6" t="inlineStr">
        <is>
          <t>Germany</t>
        </is>
      </c>
      <c r="F134" s="6" t="inlineStr">
        <is>
          <t>Poland</t>
        </is>
      </c>
      <c r="G134" s="6" t="inlineStr">
        <is>
          <t>Hungary</t>
        </is>
      </c>
      <c r="H134" s="6" t="inlineStr">
        <is>
          <t>Romania</t>
        </is>
      </c>
      <c r="I134" s="6" t="inlineStr">
        <is>
          <t>Czechia</t>
        </is>
      </c>
      <c r="J134" s="6" t="inlineStr">
        <is>
          <t>Slovakia</t>
        </is>
      </c>
      <c r="K134" s="6" t="inlineStr">
        <is>
          <t>Lithuania</t>
        </is>
      </c>
      <c r="L134" s="6" t="inlineStr">
        <is>
          <t>Latvia</t>
        </is>
      </c>
      <c r="M134" s="6" t="inlineStr">
        <is>
          <t>Estonia</t>
        </is>
      </c>
      <c r="N134" s="6" t="inlineStr">
        <is>
          <t>Bulgaria</t>
        </is>
      </c>
      <c r="O134" s="6" t="inlineStr">
        <is>
          <t>UA / EU-27 all</t>
        </is>
      </c>
      <c r="P134" s="6" t="inlineStr">
        <is>
          <t>UA / EU-27 large</t>
        </is>
      </c>
    </row>
    <row r="135">
      <c r="A135" t="inlineStr">
        <is>
          <t>Robotics</t>
        </is>
      </c>
      <c r="B135" s="7">
        <f>Farm_results!$B$4</f>
        <v/>
      </c>
      <c r="C135" s="7">
        <f>Farm_results!$C$4</f>
        <v/>
      </c>
      <c r="D135" s="7">
        <f>Farm_results!$D$4</f>
        <v/>
      </c>
      <c r="E135" s="7">
        <f>Farm_results!$E$4</f>
        <v/>
      </c>
      <c r="F135" s="7">
        <f>Farm_results!$F$4</f>
        <v/>
      </c>
      <c r="G135" s="7">
        <f>Farm_results!$G$4</f>
        <v/>
      </c>
      <c r="H135" s="7">
        <f>Farm_results!$H$4</f>
        <v/>
      </c>
      <c r="I135" s="7">
        <f>Farm_results!$I$4</f>
        <v/>
      </c>
      <c r="J135" s="7">
        <f>Farm_results!$J$4</f>
        <v/>
      </c>
      <c r="K135" s="7">
        <f>Farm_results!$K$4</f>
        <v/>
      </c>
      <c r="L135" s="7">
        <f>Farm_results!$L$4</f>
        <v/>
      </c>
      <c r="M135" s="7">
        <f>Farm_results!$M$4</f>
        <v/>
      </c>
      <c r="N135" s="7">
        <f>Farm_results!$N$4</f>
        <v/>
      </c>
      <c r="O135" s="8">
        <f>Farm_results!$O$4</f>
        <v/>
      </c>
      <c r="P135" s="8">
        <f>Farm_results!$P$4</f>
        <v/>
      </c>
    </row>
    <row r="136">
      <c r="A136" t="inlineStr">
        <is>
          <t>Plant protection robots</t>
        </is>
      </c>
      <c r="B136" s="7">
        <f>Farm_results!$B$5</f>
        <v/>
      </c>
      <c r="C136" s="7">
        <f>Farm_results!$C$5</f>
        <v/>
      </c>
      <c r="D136" s="7">
        <f>Farm_results!$D$5</f>
        <v/>
      </c>
      <c r="E136" s="7">
        <f>Farm_results!$E$5</f>
        <v/>
      </c>
      <c r="F136" s="7">
        <f>Farm_results!$F$5</f>
        <v/>
      </c>
      <c r="G136" s="7">
        <f>Farm_results!$G$5</f>
        <v/>
      </c>
      <c r="H136" s="7">
        <f>Farm_results!$H$5</f>
        <v/>
      </c>
      <c r="I136" s="7">
        <f>Farm_results!$I$5</f>
        <v/>
      </c>
      <c r="J136" s="7">
        <f>Farm_results!$J$5</f>
        <v/>
      </c>
      <c r="K136" s="7">
        <f>Farm_results!$K$5</f>
        <v/>
      </c>
      <c r="L136" s="7">
        <f>Farm_results!$L$5</f>
        <v/>
      </c>
      <c r="M136" s="7">
        <f>Farm_results!$M$5</f>
        <v/>
      </c>
      <c r="N136" s="7">
        <f>Farm_results!$N$5</f>
        <v/>
      </c>
      <c r="O136" s="8">
        <f>Farm_results!$O$5</f>
        <v/>
      </c>
      <c r="P136" s="8">
        <f>Farm_results!$P$5</f>
        <v/>
      </c>
    </row>
    <row r="137">
      <c r="A137" t="inlineStr">
        <is>
          <t>Band spraying</t>
        </is>
      </c>
      <c r="B137" s="7">
        <f>Farm_results!$B$6</f>
        <v/>
      </c>
      <c r="C137" s="7">
        <f>Farm_results!$C$6</f>
        <v/>
      </c>
      <c r="D137" s="7">
        <f>Farm_results!$D$6</f>
        <v/>
      </c>
      <c r="E137" s="7">
        <f>Farm_results!$E$6</f>
        <v/>
      </c>
      <c r="F137" s="7">
        <f>Farm_results!$F$6</f>
        <v/>
      </c>
      <c r="G137" s="7">
        <f>Farm_results!$G$6</f>
        <v/>
      </c>
      <c r="H137" s="7">
        <f>Farm_results!$H$6</f>
        <v/>
      </c>
      <c r="I137" s="7">
        <f>Farm_results!$I$6</f>
        <v/>
      </c>
      <c r="J137" s="7">
        <f>Farm_results!$J$6</f>
        <v/>
      </c>
      <c r="K137" s="7">
        <f>Farm_results!$K$6</f>
        <v/>
      </c>
      <c r="L137" s="7">
        <f>Farm_results!$L$6</f>
        <v/>
      </c>
      <c r="M137" s="7">
        <f>Farm_results!$M$6</f>
        <v/>
      </c>
      <c r="N137" s="7">
        <f>Farm_results!$N$6</f>
        <v/>
      </c>
      <c r="O137" s="8">
        <f>Farm_results!$O$6</f>
        <v/>
      </c>
      <c r="P137" s="8">
        <f>Farm_results!$P$6</f>
        <v/>
      </c>
    </row>
    <row r="138">
      <c r="A138" t="inlineStr">
        <is>
          <t>Variable rate technology</t>
        </is>
      </c>
      <c r="B138" s="7">
        <f>Farm_results!$B$7</f>
        <v/>
      </c>
      <c r="C138" s="7">
        <f>Farm_results!$C$7</f>
        <v/>
      </c>
      <c r="D138" s="7">
        <f>Farm_results!$D$7</f>
        <v/>
      </c>
      <c r="E138" s="7">
        <f>Farm_results!$E$7</f>
        <v/>
      </c>
      <c r="F138" s="7">
        <f>Farm_results!$F$7</f>
        <v/>
      </c>
      <c r="G138" s="7">
        <f>Farm_results!$G$7</f>
        <v/>
      </c>
      <c r="H138" s="7">
        <f>Farm_results!$H$7</f>
        <v/>
      </c>
      <c r="I138" s="7">
        <f>Farm_results!$I$7</f>
        <v/>
      </c>
      <c r="J138" s="7">
        <f>Farm_results!$J$7</f>
        <v/>
      </c>
      <c r="K138" s="7">
        <f>Farm_results!$K$7</f>
        <v/>
      </c>
      <c r="L138" s="7">
        <f>Farm_results!$L$7</f>
        <v/>
      </c>
      <c r="M138" s="7">
        <f>Farm_results!$M$7</f>
        <v/>
      </c>
      <c r="N138" s="7">
        <f>Farm_results!$N$7</f>
        <v/>
      </c>
      <c r="O138" s="8">
        <f>Farm_results!$O$7</f>
        <v/>
      </c>
      <c r="P138" s="8">
        <f>Farm_results!$P$7</f>
        <v/>
      </c>
    </row>
    <row r="139">
      <c r="A139" t="inlineStr">
        <is>
          <t>Precision crop monitoring</t>
        </is>
      </c>
      <c r="B139" s="7">
        <f>Farm_results!$B$8</f>
        <v/>
      </c>
      <c r="C139" s="7">
        <f>Farm_results!$C$8</f>
        <v/>
      </c>
      <c r="D139" s="7">
        <f>Farm_results!$D$8</f>
        <v/>
      </c>
      <c r="E139" s="7">
        <f>Farm_results!$E$8</f>
        <v/>
      </c>
      <c r="F139" s="7">
        <f>Farm_results!$F$8</f>
        <v/>
      </c>
      <c r="G139" s="7">
        <f>Farm_results!$G$8</f>
        <v/>
      </c>
      <c r="H139" s="7">
        <f>Farm_results!$H$8</f>
        <v/>
      </c>
      <c r="I139" s="7">
        <f>Farm_results!$I$8</f>
        <v/>
      </c>
      <c r="J139" s="7">
        <f>Farm_results!$J$8</f>
        <v/>
      </c>
      <c r="K139" s="7">
        <f>Farm_results!$K$8</f>
        <v/>
      </c>
      <c r="L139" s="7">
        <f>Farm_results!$L$8</f>
        <v/>
      </c>
      <c r="M139" s="7">
        <f>Farm_results!$M$8</f>
        <v/>
      </c>
      <c r="N139" s="7">
        <f>Farm_results!$N$8</f>
        <v/>
      </c>
      <c r="O139" s="8">
        <f>Farm_results!$O$8</f>
        <v/>
      </c>
      <c r="P139" s="8">
        <f>Farm_results!$P$8</f>
        <v/>
      </c>
    </row>
    <row r="140">
      <c r="A140" t="inlineStr">
        <is>
          <t>Soil analysis</t>
        </is>
      </c>
      <c r="B140" s="7">
        <f>Farm_results!$B$9</f>
        <v/>
      </c>
      <c r="C140" s="7">
        <f>Farm_results!$C$9</f>
        <v/>
      </c>
      <c r="D140" s="7">
        <f>Farm_results!$D$9</f>
        <v/>
      </c>
      <c r="E140" s="7">
        <f>Farm_results!$E$9</f>
        <v/>
      </c>
      <c r="F140" s="7">
        <f>Farm_results!$F$9</f>
        <v/>
      </c>
      <c r="G140" s="7">
        <f>Farm_results!$G$9</f>
        <v/>
      </c>
      <c r="H140" s="7">
        <f>Farm_results!$H$9</f>
        <v/>
      </c>
      <c r="I140" s="7">
        <f>Farm_results!$I$9</f>
        <v/>
      </c>
      <c r="J140" s="7">
        <f>Farm_results!$J$9</f>
        <v/>
      </c>
      <c r="K140" s="7">
        <f>Farm_results!$K$9</f>
        <v/>
      </c>
      <c r="L140" s="7">
        <f>Farm_results!$L$9</f>
        <v/>
      </c>
      <c r="M140" s="7">
        <f>Farm_results!$M$9</f>
        <v/>
      </c>
      <c r="N140" s="7">
        <f>Farm_results!$N$9</f>
        <v/>
      </c>
      <c r="O140" s="8">
        <f>Farm_results!$O$9</f>
        <v/>
      </c>
      <c r="P140" s="8">
        <f>Farm_results!$P$9</f>
        <v/>
      </c>
    </row>
    <row r="141">
      <c r="A141" t="inlineStr">
        <is>
          <t>Automatic feeding</t>
        </is>
      </c>
      <c r="B141" s="7">
        <f>Farm_results!$B$10</f>
        <v/>
      </c>
      <c r="C141" s="7">
        <f>Farm_results!$C$10</f>
        <v/>
      </c>
      <c r="D141" s="7">
        <f>Farm_results!$D$10</f>
        <v/>
      </c>
      <c r="E141" s="7">
        <f>Farm_results!$E$10</f>
        <v/>
      </c>
      <c r="F141" s="7">
        <f>Farm_results!$F$10</f>
        <v/>
      </c>
      <c r="G141" s="7">
        <f>Farm_results!$G$10</f>
        <v/>
      </c>
      <c r="H141" s="7">
        <f>Farm_results!$H$10</f>
        <v/>
      </c>
      <c r="I141" s="7">
        <f>Farm_results!$I$10</f>
        <v/>
      </c>
      <c r="J141" s="7">
        <f>Farm_results!$J$10</f>
        <v/>
      </c>
      <c r="K141" s="7">
        <f>Farm_results!$K$10</f>
        <v/>
      </c>
      <c r="L141" s="7">
        <f>Farm_results!$L$10</f>
        <v/>
      </c>
      <c r="M141" s="7">
        <f>Farm_results!$M$10</f>
        <v/>
      </c>
      <c r="N141" s="7">
        <f>Farm_results!$N$10</f>
        <v/>
      </c>
      <c r="O141" s="8">
        <f>Farm_results!$O$10</f>
        <v/>
      </c>
      <c r="P141" s="8">
        <f>Farm_results!$P$10</f>
        <v/>
      </c>
    </row>
    <row r="142">
      <c r="A142" t="inlineStr">
        <is>
          <t>Milking robots</t>
        </is>
      </c>
      <c r="B142" s="7">
        <f>Farm_results!$B$11</f>
        <v/>
      </c>
      <c r="C142" s="7">
        <f>Farm_results!$C$11</f>
        <v/>
      </c>
      <c r="D142" s="7">
        <f>Farm_results!$D$11</f>
        <v/>
      </c>
      <c r="E142" s="7">
        <f>Farm_results!$E$11</f>
        <v/>
      </c>
      <c r="F142" s="7">
        <f>Farm_results!$F$11</f>
        <v/>
      </c>
      <c r="G142" s="7">
        <f>Farm_results!$G$11</f>
        <v/>
      </c>
      <c r="H142" s="7">
        <f>Farm_results!$H$11</f>
        <v/>
      </c>
      <c r="I142" s="7">
        <f>Farm_results!$I$11</f>
        <v/>
      </c>
      <c r="J142" s="7">
        <f>Farm_results!$J$11</f>
        <v/>
      </c>
      <c r="K142" s="7">
        <f>Farm_results!$K$11</f>
        <v/>
      </c>
      <c r="L142" s="7">
        <f>Farm_results!$L$11</f>
        <v/>
      </c>
      <c r="M142" s="7">
        <f>Farm_results!$M$11</f>
        <v/>
      </c>
      <c r="N142" s="7">
        <f>Farm_results!$N$11</f>
        <v/>
      </c>
      <c r="O142" s="8">
        <f>Farm_results!$O$11</f>
        <v/>
      </c>
      <c r="P142" s="8">
        <f>Farm_results!$P$11</f>
        <v/>
      </c>
    </row>
    <row r="143">
      <c r="A143" t="inlineStr">
        <is>
          <t>Animal health monitoring</t>
        </is>
      </c>
      <c r="B143" s="7">
        <f>Farm_results!$B$12</f>
        <v/>
      </c>
      <c r="C143" s="7">
        <f>Farm_results!$C$12</f>
        <v/>
      </c>
      <c r="D143" s="7">
        <f>Farm_results!$D$12</f>
        <v/>
      </c>
      <c r="E143" s="7">
        <f>Farm_results!$E$12</f>
        <v/>
      </c>
      <c r="F143" s="7">
        <f>Farm_results!$F$12</f>
        <v/>
      </c>
      <c r="G143" s="7">
        <f>Farm_results!$G$12</f>
        <v/>
      </c>
      <c r="H143" s="7">
        <f>Farm_results!$H$12</f>
        <v/>
      </c>
      <c r="I143" s="7">
        <f>Farm_results!$I$12</f>
        <v/>
      </c>
      <c r="J143" s="7">
        <f>Farm_results!$J$12</f>
        <v/>
      </c>
      <c r="K143" s="7">
        <f>Farm_results!$K$12</f>
        <v/>
      </c>
      <c r="L143" s="7">
        <f>Farm_results!$L$12</f>
        <v/>
      </c>
      <c r="M143" s="7">
        <f>Farm_results!$M$12</f>
        <v/>
      </c>
      <c r="N143" s="7">
        <f>Farm_results!$N$12</f>
        <v/>
      </c>
      <c r="O143" s="8">
        <f>Farm_results!$O$12</f>
        <v/>
      </c>
      <c r="P143" s="8">
        <f>Farm_results!$P$12</f>
        <v/>
      </c>
    </row>
    <row r="144">
      <c r="A144" t="inlineStr">
        <is>
          <t>Climate regulation</t>
        </is>
      </c>
      <c r="B144" s="7">
        <f>Farm_results!$B$13</f>
        <v/>
      </c>
      <c r="C144" s="7">
        <f>Farm_results!$C$13</f>
        <v/>
      </c>
      <c r="D144" s="7">
        <f>Farm_results!$D$13</f>
        <v/>
      </c>
      <c r="E144" s="7">
        <f>Farm_results!$E$13</f>
        <v/>
      </c>
      <c r="F144" s="7">
        <f>Farm_results!$F$13</f>
        <v/>
      </c>
      <c r="G144" s="7">
        <f>Farm_results!$G$13</f>
        <v/>
      </c>
      <c r="H144" s="7">
        <f>Farm_results!$H$13</f>
        <v/>
      </c>
      <c r="I144" s="7">
        <f>Farm_results!$I$13</f>
        <v/>
      </c>
      <c r="J144" s="7">
        <f>Farm_results!$J$13</f>
        <v/>
      </c>
      <c r="K144" s="7">
        <f>Farm_results!$K$13</f>
        <v/>
      </c>
      <c r="L144" s="7">
        <f>Farm_results!$L$13</f>
        <v/>
      </c>
      <c r="M144" s="7">
        <f>Farm_results!$M$13</f>
        <v/>
      </c>
      <c r="N144" s="7">
        <f>Farm_results!$N$13</f>
        <v/>
      </c>
      <c r="O144" s="8">
        <f>Farm_results!$O$13</f>
        <v/>
      </c>
      <c r="P144" s="8">
        <f>Farm_results!$P$13</f>
        <v/>
      </c>
    </row>
    <row r="145">
      <c r="A145" t="inlineStr">
        <is>
          <t>Median ratio</t>
        </is>
      </c>
      <c r="O145" s="8">
        <f>Farm_results!O15</f>
        <v/>
      </c>
      <c r="P145" s="8">
        <f>Farm_results!P15</f>
        <v/>
      </c>
    </row>
    <row r="146">
      <c r="A146" s="11" t="inlineStr">
        <is>
          <t>* Estimate: enterprises (incl. family farms) using the technology / enterprises with agricultural land. For the ratio to large EU holdings the livestock technologies are divided by the enterprises keeping farm animals (Farm_UA_data, column H).</t>
        </is>
      </c>
    </row>
    <row r="149">
      <c r="A149" s="3" t="inlineStr">
        <is>
          <t>Table A2. Layer orientations for Ukraine</t>
        </is>
      </c>
    </row>
    <row r="150">
      <c r="A150" s="6" t="inlineStr">
        <is>
          <t>Component</t>
        </is>
      </c>
      <c r="B150" s="6" t="inlineStr">
        <is>
          <t>Ukraine</t>
        </is>
      </c>
      <c r="C150" s="6" t="inlineStr">
        <is>
          <t>Level 3 countries</t>
        </is>
      </c>
      <c r="D150" s="6" t="inlineStr">
        <is>
          <t>Level 4 countries</t>
        </is>
      </c>
      <c r="E150" s="6" t="inlineStr">
        <is>
          <t>EU-27</t>
        </is>
      </c>
      <c r="F150" s="6" t="inlineStr">
        <is>
          <t>Gap to level 3</t>
        </is>
      </c>
    </row>
    <row r="151">
      <c r="A151" t="inlineStr">
        <is>
          <t>C</t>
        </is>
      </c>
      <c r="B151" s="8">
        <f>Processing_index!$S$15</f>
        <v/>
      </c>
      <c r="C151" s="8">
        <f>Orientations!$C$4</f>
        <v/>
      </c>
      <c r="D151" s="8">
        <f>Orientations!$D$4</f>
        <v/>
      </c>
      <c r="E151" s="8">
        <f>Processing_index!$S$4</f>
        <v/>
      </c>
      <c r="F151" s="8">
        <f>Orientations!$F$4</f>
        <v/>
      </c>
    </row>
    <row r="152">
      <c r="A152" t="inlineStr">
        <is>
          <t>L1</t>
        </is>
      </c>
      <c r="B152" s="8">
        <f>Processing_index!$T$15</f>
        <v/>
      </c>
      <c r="C152" s="8">
        <f>Orientations!$C$5</f>
        <v/>
      </c>
      <c r="D152" s="8">
        <f>Orientations!$D$5</f>
        <v/>
      </c>
      <c r="E152" s="8">
        <f>Processing_index!$T$4</f>
        <v/>
      </c>
      <c r="F152" s="8">
        <f>Orientations!$F$5</f>
        <v/>
      </c>
    </row>
    <row r="153">
      <c r="A153" t="inlineStr">
        <is>
          <t>L2</t>
        </is>
      </c>
      <c r="B153" s="8">
        <f>Processing_index!$U$15</f>
        <v/>
      </c>
      <c r="C153" s="8">
        <f>Orientations!$C$6</f>
        <v/>
      </c>
      <c r="D153" s="8">
        <f>Orientations!$D$6</f>
        <v/>
      </c>
      <c r="E153" s="8">
        <f>Processing_index!$U$4</f>
        <v/>
      </c>
      <c r="F153" s="8">
        <f>Orientations!$F$6</f>
        <v/>
      </c>
    </row>
    <row r="154">
      <c r="A154" t="inlineStr">
        <is>
          <t>L3</t>
        </is>
      </c>
      <c r="B154" s="8">
        <f>Processing_index!$V$15</f>
        <v/>
      </c>
      <c r="C154" s="8">
        <f>Orientations!$C$7</f>
        <v/>
      </c>
      <c r="D154" s="8">
        <f>Orientations!$D$7</f>
        <v/>
      </c>
      <c r="E154" s="8">
        <f>Processing_index!$V$4</f>
        <v/>
      </c>
      <c r="F154" s="8">
        <f>Orientations!$F$7</f>
        <v/>
      </c>
    </row>
    <row r="155">
      <c r="A155" t="inlineStr">
        <is>
          <t>L4</t>
        </is>
      </c>
      <c r="B155" s="8">
        <f>Processing_index!$W$15</f>
        <v/>
      </c>
      <c r="C155" s="8">
        <f>Orientations!$C$8</f>
        <v/>
      </c>
      <c r="D155" s="8">
        <f>Orientations!$D$8</f>
        <v/>
      </c>
      <c r="E155" s="8">
        <f>Processing_index!$W$4</f>
        <v/>
      </c>
      <c r="F155" s="8">
        <f>Orientations!$F$8</f>
        <v/>
      </c>
    </row>
    <row r="156">
      <c r="A156" t="inlineStr">
        <is>
          <t>DM_I</t>
        </is>
      </c>
      <c r="B156" s="8">
        <f>Processing_index!$X$15</f>
        <v/>
      </c>
      <c r="C156" s="8">
        <f>Orientations!$C$9</f>
        <v/>
      </c>
      <c r="D156" s="8">
        <f>Orientations!$D$9</f>
        <v/>
      </c>
      <c r="E156" s="8">
        <f>Processing_index!$X$4</f>
        <v/>
      </c>
      <c r="F156" s="8">
        <f>Orientations!$F$9</f>
        <v/>
      </c>
    </row>
    <row r="157">
      <c r="A157" t="inlineStr">
        <is>
          <t>DM_S</t>
        </is>
      </c>
      <c r="B157" s="8">
        <f>Processing_index!$Y$15</f>
        <v/>
      </c>
      <c r="C157" s="8">
        <f>Orientations!$C$10</f>
        <v/>
      </c>
      <c r="D157" s="8">
        <f>Orientations!$D$10</f>
        <v/>
      </c>
      <c r="E157" s="8">
        <f>Processing_index!$Y$4</f>
        <v/>
      </c>
      <c r="F157" s="8">
        <f>Orientations!$F$10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57"/>
  <sheetViews>
    <sheetView workbookViewId="0">
      <selection activeCell="A1" sqref="A1"/>
    </sheetView>
  </sheetViews>
  <sheetFormatPr baseColWidth="8" defaultRowHeight="15"/>
  <cols>
    <col width="42" customWidth="1" min="1" max="1"/>
    <col width="3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Таблиці статті українською (кожне число є формулою над розрахунковими аркушами)</t>
        </is>
      </c>
    </row>
    <row r="3">
      <c r="A3" s="3" t="inlineStr">
        <is>
          <t>Таблиця 1. Технології рівня господарств і їх місце в моделі ADMA</t>
        </is>
      </c>
    </row>
    <row r="4">
      <c r="A4" s="6" t="inlineStr">
        <is>
          <t>Технологія</t>
        </is>
      </c>
      <c r="B4" s="6" t="inlineStr">
        <is>
          <t>Код Eurostat</t>
        </is>
      </c>
      <c r="C4" s="6" t="inlineStr">
        <is>
          <t>Шар ADMA</t>
        </is>
      </c>
    </row>
    <row r="5">
      <c r="A5" t="inlineStr">
        <is>
          <t>Робототехніка</t>
        </is>
      </c>
      <c r="B5" t="inlineStr">
        <is>
          <t>MAC_ROB</t>
        </is>
      </c>
      <c r="C5" t="inlineStr">
        <is>
          <t>C</t>
        </is>
      </c>
    </row>
    <row r="6">
      <c r="A6" t="inlineStr">
        <is>
          <t>Роботи для внесення засобів захисту рослин</t>
        </is>
      </c>
      <c r="B6" t="inlineStr">
        <is>
          <t>MAC_ROB_PPP</t>
        </is>
      </c>
      <c r="C6" t="inlineStr">
        <is>
          <t>L3</t>
        </is>
      </c>
    </row>
    <row r="7">
      <c r="A7" t="inlineStr">
        <is>
          <t>Стрічкове внесення засобів захисту рослин</t>
        </is>
      </c>
      <c r="B7" t="inlineStr">
        <is>
          <t>MAC_BDS_PPP</t>
        </is>
      </c>
      <c r="C7" t="inlineStr">
        <is>
          <t>L3</t>
        </is>
      </c>
    </row>
    <row r="8">
      <c r="A8" t="inlineStr">
        <is>
          <t>Технологія змінних норм внесення</t>
        </is>
      </c>
      <c r="B8" t="inlineStr">
        <is>
          <t>MAC_VRT</t>
        </is>
      </c>
      <c r="C8" t="inlineStr">
        <is>
          <t>L3</t>
        </is>
      </c>
    </row>
    <row r="9">
      <c r="A9" t="inlineStr">
        <is>
          <t>Точний моніторинг посівів</t>
        </is>
      </c>
      <c r="B9" t="inlineStr">
        <is>
          <t>MAC_PMON_CR</t>
        </is>
      </c>
      <c r="C9" t="inlineStr">
        <is>
          <t>L3</t>
        </is>
      </c>
    </row>
    <row r="10">
      <c r="A10" t="inlineStr">
        <is>
          <t>Аналіз ґрунту</t>
        </is>
      </c>
      <c r="B10" t="inlineStr">
        <is>
          <t>MAC_ASOIL</t>
        </is>
      </c>
      <c r="C10" t="inlineStr">
        <is>
          <t>L3</t>
        </is>
      </c>
    </row>
    <row r="11">
      <c r="A11" t="inlineStr">
        <is>
          <t>Автоматичні системи годування</t>
        </is>
      </c>
      <c r="B11" t="inlineStr">
        <is>
          <t>MAC_AFDS</t>
        </is>
      </c>
      <c r="C11" t="inlineStr">
        <is>
          <t>L3</t>
        </is>
      </c>
    </row>
    <row r="12">
      <c r="A12" t="inlineStr">
        <is>
          <t>Доїльні роботи</t>
        </is>
      </c>
      <c r="B12" t="inlineStr">
        <is>
          <t>MAC_MLK_ROB</t>
        </is>
      </c>
      <c r="C12" t="inlineStr">
        <is>
          <t>L3</t>
        </is>
      </c>
    </row>
    <row r="13">
      <c r="A13" t="inlineStr">
        <is>
          <t>Моніторинг здоров'я і благополуччя тварин</t>
        </is>
      </c>
      <c r="B13" t="inlineStr">
        <is>
          <t>MAC_WHMON</t>
        </is>
      </c>
      <c r="C13" t="inlineStr">
        <is>
          <t>L3</t>
        </is>
      </c>
    </row>
    <row r="14">
      <c r="A14" t="inlineStr">
        <is>
          <t>Автоматичне регулювання мікроклімату</t>
        </is>
      </c>
      <c r="B14" t="inlineStr">
        <is>
          <t>MAC_AREG</t>
        </is>
      </c>
      <c r="C14" t="inlineStr">
        <is>
          <t>L3</t>
        </is>
      </c>
    </row>
    <row r="17">
      <c r="A17" s="3" t="inlineStr">
        <is>
          <t>Таблиця 2. Показники харчової переробки (NACE C10–C12), % підприємств</t>
        </is>
      </c>
    </row>
    <row r="18">
      <c r="A18" s="6" t="inlineStr">
        <is>
          <t>Шар</t>
        </is>
      </c>
      <c r="B18" s="6" t="inlineStr">
        <is>
          <t>Показник</t>
        </is>
      </c>
      <c r="C18" s="6" t="inlineStr">
        <is>
          <t>Рік ЄС</t>
        </is>
      </c>
      <c r="D18" s="6" t="inlineStr">
        <is>
          <t>Рік Україна</t>
        </is>
      </c>
      <c r="E18" s="6" t="inlineStr">
        <is>
          <t>ЄС-27</t>
        </is>
      </c>
      <c r="F18" s="6" t="inlineStr">
        <is>
          <t>Лідер ЄС, значення</t>
        </is>
      </c>
      <c r="G18" s="6" t="inlineStr">
        <is>
          <t>Лідер ЄС</t>
        </is>
      </c>
      <c r="H18" s="6" t="inlineStr">
        <is>
          <t>Україна</t>
        </is>
      </c>
    </row>
    <row r="19">
      <c r="A19" t="inlineStr">
        <is>
          <t>C</t>
        </is>
      </c>
      <c r="B19" t="inlineStr">
        <is>
          <t>ERP</t>
        </is>
      </c>
      <c r="C19">
        <f>Processing_data!$E$4</f>
        <v/>
      </c>
      <c r="D19">
        <f>Processing_data!$F$4</f>
        <v/>
      </c>
      <c r="E19" s="7">
        <f>Processing_data!$AH$4</f>
        <v/>
      </c>
      <c r="F19" s="7">
        <f>Processing_data!$AJ$4</f>
        <v/>
      </c>
      <c r="G19">
        <f>Processing_data!$AK$4</f>
        <v/>
      </c>
      <c r="H19" s="7">
        <f>Processing_data!$AI$4</f>
        <v/>
      </c>
    </row>
    <row r="20">
      <c r="A20" t="inlineStr">
        <is>
          <t>C</t>
        </is>
      </c>
      <c r="B20" t="inlineStr">
        <is>
          <t>IoT у виробничих процесах</t>
        </is>
      </c>
      <c r="C20">
        <f>Processing_data!$E$5</f>
        <v/>
      </c>
      <c r="D20">
        <f>Processing_data!$F$5</f>
        <v/>
      </c>
      <c r="E20" s="7">
        <f>Processing_data!$AH$5</f>
        <v/>
      </c>
      <c r="F20" s="7">
        <f>Processing_data!$AJ$5</f>
        <v/>
      </c>
      <c r="G20">
        <f>Processing_data!$AK$5</f>
        <v/>
      </c>
      <c r="H20" s="7">
        <f>Processing_data!$AI$5</f>
        <v/>
      </c>
    </row>
    <row r="21">
      <c r="A21" t="inlineStr">
        <is>
          <t>C</t>
        </is>
      </c>
      <c r="B21" t="inlineStr">
        <is>
          <t>Документ щодо безпеки ІКТ</t>
        </is>
      </c>
      <c r="C21">
        <f>Processing_data!$E$6</f>
        <v/>
      </c>
      <c r="D21">
        <f>Processing_data!$F$6</f>
        <v/>
      </c>
      <c r="E21" s="7">
        <f>Processing_data!$AH$6</f>
        <v/>
      </c>
      <c r="F21" s="7">
        <f>Processing_data!$AJ$6</f>
        <v/>
      </c>
      <c r="G21">
        <f>Processing_data!$AK$6</f>
        <v/>
      </c>
      <c r="H21" s="7">
        <f>Processing_data!$AI$6</f>
        <v/>
      </c>
    </row>
    <row r="22">
      <c r="A22" t="inlineStr">
        <is>
          <t>L1</t>
        </is>
      </c>
      <c r="B22" t="inlineStr">
        <is>
          <t>Навчання з ІКТ для фахівців з ІКТ</t>
        </is>
      </c>
      <c r="C22">
        <f>Processing_data!$E$7</f>
        <v/>
      </c>
      <c r="D22">
        <f>Processing_data!$F$7</f>
        <v/>
      </c>
      <c r="E22" s="7">
        <f>Processing_data!$AH$7</f>
        <v/>
      </c>
      <c r="F22" s="7">
        <f>Processing_data!$AJ$7</f>
        <v/>
      </c>
      <c r="G22">
        <f>Processing_data!$AK$7</f>
        <v/>
      </c>
      <c r="H22" s="7">
        <f>Processing_data!$AI$7</f>
        <v/>
      </c>
    </row>
    <row r="23">
      <c r="A23" t="inlineStr">
        <is>
          <t>L1</t>
        </is>
      </c>
      <c r="B23" t="inlineStr">
        <is>
          <t>Навчання з ІКТ для інших працівників</t>
        </is>
      </c>
      <c r="C23">
        <f>Processing_data!$E$8</f>
        <v/>
      </c>
      <c r="D23">
        <f>Processing_data!$F$8</f>
        <v/>
      </c>
      <c r="E23" s="7">
        <f>Processing_data!$AH$8</f>
        <v/>
      </c>
      <c r="F23" s="7">
        <f>Processing_data!$AJ$8</f>
        <v/>
      </c>
      <c r="G23">
        <f>Processing_data!$AK$8</f>
        <v/>
      </c>
      <c r="H23" s="7">
        <f>Processing_data!$AI$8</f>
        <v/>
      </c>
    </row>
    <row r="24">
      <c r="A24" t="inlineStr">
        <is>
          <t>L2</t>
        </is>
      </c>
      <c r="B24" t="inlineStr">
        <is>
          <t>Обмін даними в ланцюгу постачання</t>
        </is>
      </c>
      <c r="C24">
        <f>Processing_data!$E$9</f>
        <v/>
      </c>
      <c r="D24">
        <f>Processing_data!$F$9</f>
        <v/>
      </c>
      <c r="E24" s="7">
        <f>Processing_data!$AH$9</f>
        <v/>
      </c>
      <c r="F24" s="7">
        <f>Processing_data!$AJ$9</f>
        <v/>
      </c>
      <c r="G24">
        <f>Processing_data!$AK$9</f>
        <v/>
      </c>
      <c r="H24" s="7">
        <f>Processing_data!$AI$9</f>
        <v/>
      </c>
    </row>
    <row r="25">
      <c r="A25" t="inlineStr">
        <is>
          <t>L2</t>
        </is>
      </c>
      <c r="B25" t="inlineStr">
        <is>
          <t>Аналітика даних</t>
        </is>
      </c>
      <c r="C25">
        <f>Processing_data!$E$10</f>
        <v/>
      </c>
      <c r="D25">
        <f>Processing_data!$F$10</f>
        <v/>
      </c>
      <c r="E25" s="7">
        <f>Processing_data!$AH$10</f>
        <v/>
      </c>
      <c r="F25" s="7">
        <f>Processing_data!$AJ$10</f>
        <v/>
      </c>
      <c r="G25">
        <f>Processing_data!$AK$10</f>
        <v/>
      </c>
      <c r="H25" s="7">
        <f>Processing_data!$AI$10</f>
        <v/>
      </c>
    </row>
    <row r="26">
      <c r="A26" t="inlineStr">
        <is>
          <t>L2</t>
        </is>
      </c>
      <c r="B26" t="inlineStr">
        <is>
          <t>Інтернет речей</t>
        </is>
      </c>
      <c r="C26">
        <f>Processing_data!$E$11</f>
        <v/>
      </c>
      <c r="D26">
        <f>Processing_data!$F$11</f>
        <v/>
      </c>
      <c r="E26" s="7">
        <f>Processing_data!$AH$11</f>
        <v/>
      </c>
      <c r="F26" s="7">
        <f>Processing_data!$AJ$11</f>
        <v/>
      </c>
      <c r="G26">
        <f>Processing_data!$AK$11</f>
        <v/>
      </c>
      <c r="H26" s="7">
        <f>Processing_data!$AI$11</f>
        <v/>
      </c>
    </row>
    <row r="27">
      <c r="A27" t="inlineStr">
        <is>
          <t>L3</t>
        </is>
      </c>
      <c r="B27" t="inlineStr">
        <is>
          <t>Мобільний доступ до інтернету</t>
        </is>
      </c>
      <c r="C27">
        <f>Processing_data!$E$12</f>
        <v/>
      </c>
      <c r="D27">
        <f>Processing_data!$F$12</f>
        <v/>
      </c>
      <c r="E27" s="7">
        <f>Processing_data!$AH$12</f>
        <v/>
      </c>
      <c r="F27" s="7">
        <f>Processing_data!$AJ$12</f>
        <v/>
      </c>
      <c r="G27">
        <f>Processing_data!$AK$12</f>
        <v/>
      </c>
      <c r="H27" s="7">
        <f>Processing_data!$AI$12</f>
        <v/>
      </c>
    </row>
    <row r="28">
      <c r="A28" t="inlineStr">
        <is>
          <t>L3</t>
        </is>
      </c>
      <c r="B28" t="inlineStr">
        <is>
          <t>Платні хмарні послуги</t>
        </is>
      </c>
      <c r="C28">
        <f>Processing_data!$E$13</f>
        <v/>
      </c>
      <c r="D28">
        <f>Processing_data!$F$13</f>
        <v/>
      </c>
      <c r="E28" s="7">
        <f>Processing_data!$AH$13</f>
        <v/>
      </c>
      <c r="F28" s="7">
        <f>Processing_data!$AJ$13</f>
        <v/>
      </c>
      <c r="G28">
        <f>Processing_data!$AK$13</f>
        <v/>
      </c>
      <c r="H28" s="7">
        <f>Processing_data!$AI$13</f>
        <v/>
      </c>
    </row>
    <row r="29">
      <c r="A29" t="inlineStr">
        <is>
          <t>L4</t>
        </is>
      </c>
      <c r="B29" t="inlineStr">
        <is>
          <t>Електронні продажі</t>
        </is>
      </c>
      <c r="C29">
        <f>Processing_data!$E$14</f>
        <v/>
      </c>
      <c r="D29">
        <f>Processing_data!$F$14</f>
        <v/>
      </c>
      <c r="E29" s="7">
        <f>Processing_data!$AH$14</f>
        <v/>
      </c>
      <c r="F29" s="7">
        <f>Processing_data!$AJ$14</f>
        <v/>
      </c>
      <c r="G29">
        <f>Processing_data!$AK$14</f>
        <v/>
      </c>
      <c r="H29" s="7">
        <f>Processing_data!$AI$14</f>
        <v/>
      </c>
    </row>
    <row r="30">
      <c r="A30" t="inlineStr">
        <is>
          <t>L4</t>
        </is>
      </c>
      <c r="B30" t="inlineStr">
        <is>
          <t>Вебсайт</t>
        </is>
      </c>
      <c r="C30">
        <f>Processing_data!$E$15</f>
        <v/>
      </c>
      <c r="D30">
        <f>Processing_data!$F$15</f>
        <v/>
      </c>
      <c r="E30" s="7">
        <f>Processing_data!$AH$15</f>
        <v/>
      </c>
      <c r="F30" s="7">
        <f>Processing_data!$AJ$15</f>
        <v/>
      </c>
      <c r="G30">
        <f>Processing_data!$AK$15</f>
        <v/>
      </c>
      <c r="H30" s="7">
        <f>Processing_data!$AI$15</f>
        <v/>
      </c>
    </row>
    <row r="31">
      <c r="A31" t="inlineStr">
        <is>
          <t>L4</t>
        </is>
      </c>
      <c r="B31" t="inlineStr">
        <is>
          <t>CRM</t>
        </is>
      </c>
      <c r="C31">
        <f>Processing_data!$E$16</f>
        <v/>
      </c>
      <c r="D31">
        <f>Processing_data!$F$16</f>
        <v/>
      </c>
      <c r="E31" s="7">
        <f>Processing_data!$AH$16</f>
        <v/>
      </c>
      <c r="F31" s="7">
        <f>Processing_data!$AJ$16</f>
        <v/>
      </c>
      <c r="G31">
        <f>Processing_data!$AK$16</f>
        <v/>
      </c>
      <c r="H31" s="7">
        <f>Processing_data!$AI$16</f>
        <v/>
      </c>
    </row>
    <row r="32">
      <c r="A32" t="inlineStr">
        <is>
          <t>I</t>
        </is>
      </c>
      <c r="B32" t="inlineStr">
        <is>
          <t>Е-рахунки для автоматичної обробки</t>
        </is>
      </c>
      <c r="C32">
        <f>Processing_data!$E$17</f>
        <v/>
      </c>
      <c r="D32">
        <f>Processing_data!$F$17</f>
        <v/>
      </c>
      <c r="E32" s="7">
        <f>Processing_data!$AH$17</f>
        <v/>
      </c>
      <c r="F32" s="7">
        <f>Processing_data!$AJ$17</f>
        <v/>
      </c>
      <c r="G32">
        <f>Processing_data!$AK$17</f>
        <v/>
      </c>
      <c r="H32" s="7">
        <f>Processing_data!$AI$17</f>
        <v/>
      </c>
    </row>
    <row r="33">
      <c r="A33" t="inlineStr">
        <is>
          <t>I</t>
        </is>
      </c>
      <c r="B33" t="inlineStr">
        <is>
          <t>Бізнес-аналітика</t>
        </is>
      </c>
      <c r="C33">
        <f>Processing_data!$E$18</f>
        <v/>
      </c>
      <c r="D33">
        <f>Processing_data!$F$18</f>
        <v/>
      </c>
      <c r="E33" s="7">
        <f>Processing_data!$AH$18</f>
        <v/>
      </c>
      <c r="F33" s="7">
        <f>Processing_data!$AJ$18</f>
        <v/>
      </c>
      <c r="G33">
        <f>Processing_data!$AK$18</f>
        <v/>
      </c>
      <c r="H33" s="7">
        <f>Processing_data!$AI$18</f>
        <v/>
      </c>
    </row>
    <row r="34">
      <c r="A34" t="inlineStr">
        <is>
          <t>S</t>
        </is>
      </c>
      <c r="B34" t="inlineStr">
        <is>
          <t>Штучний інтелект</t>
        </is>
      </c>
      <c r="C34">
        <f>Processing_data!$E$19</f>
        <v/>
      </c>
      <c r="D34">
        <f>Processing_data!$F$19</f>
        <v/>
      </c>
      <c r="E34" s="7">
        <f>Processing_data!$AH$19</f>
        <v/>
      </c>
      <c r="F34" s="7">
        <f>Processing_data!$AJ$19</f>
        <v/>
      </c>
      <c r="G34">
        <f>Processing_data!$AK$19</f>
        <v/>
      </c>
      <c r="H34" s="7">
        <f>Processing_data!$AI$19</f>
        <v/>
      </c>
    </row>
    <row r="35">
      <c r="A35" t="inlineStr">
        <is>
          <t>S</t>
        </is>
      </c>
      <c r="B35" t="inlineStr">
        <is>
          <t>Щонайменше базова цифрова інтенсивність</t>
        </is>
      </c>
      <c r="C35">
        <f>Processing_data!$E$20</f>
        <v/>
      </c>
      <c r="D35">
        <f>Processing_data!$F$20</f>
        <v/>
      </c>
      <c r="E35" s="7">
        <f>Processing_data!$AH$20</f>
        <v/>
      </c>
      <c r="F35" s="7">
        <f>Processing_data!$AJ$20</f>
        <v/>
      </c>
      <c r="G35">
        <f>Processing_data!$AK$20</f>
        <v/>
      </c>
      <c r="H35" s="7">
        <f>Processing_data!$AI$20</f>
        <v/>
      </c>
    </row>
    <row r="38">
      <c r="A38" s="3" t="inlineStr">
        <is>
          <t>Таблиця 3. Часткові шарові показники господарств</t>
        </is>
      </c>
    </row>
    <row r="39">
      <c r="A39" s="6" t="inlineStr">
        <is>
          <t>Одиниця</t>
        </is>
      </c>
      <c r="B39" s="6" t="inlineStr">
        <is>
          <t>DM_C, усі</t>
        </is>
      </c>
      <c r="C39" s="6" t="inlineStr">
        <is>
          <t>DM_L3, усі</t>
        </is>
      </c>
      <c r="D39" s="6" t="inlineStr">
        <is>
          <t>рослинництво</t>
        </is>
      </c>
      <c r="E39" s="6" t="inlineStr">
        <is>
          <t>тваринництво</t>
        </is>
      </c>
      <c r="F39" s="6" t="inlineStr">
        <is>
          <t>DM_C, великі</t>
        </is>
      </c>
      <c r="G39" s="6" t="inlineStr">
        <is>
          <t>DM_L3, великі</t>
        </is>
      </c>
    </row>
    <row r="40">
      <c r="A40" t="inlineStr">
        <is>
          <t>ЄС-27</t>
        </is>
      </c>
      <c r="B40" s="8">
        <f>Farm_results!L20</f>
        <v/>
      </c>
      <c r="C40" s="8">
        <f>Farm_results!M20</f>
        <v/>
      </c>
      <c r="D40" s="8">
        <f>Farm_results!N20</f>
        <v/>
      </c>
      <c r="E40" s="8">
        <f>Farm_results!O20</f>
        <v/>
      </c>
      <c r="F40" s="8">
        <f>Farm_results!L38</f>
        <v/>
      </c>
      <c r="G40" s="8">
        <f>Farm_results!M38</f>
        <v/>
      </c>
    </row>
    <row r="41">
      <c r="A41" t="inlineStr">
        <is>
          <t>Німеччина</t>
        </is>
      </c>
      <c r="B41" s="8">
        <f>Farm_results!L21</f>
        <v/>
      </c>
      <c r="C41" s="8">
        <f>Farm_results!M21</f>
        <v/>
      </c>
      <c r="D41" s="8">
        <f>Farm_results!N21</f>
        <v/>
      </c>
      <c r="E41" s="8">
        <f>Farm_results!O21</f>
        <v/>
      </c>
      <c r="F41" s="8">
        <f>Farm_results!L39</f>
        <v/>
      </c>
      <c r="G41" s="8">
        <f>Farm_results!M39</f>
        <v/>
      </c>
    </row>
    <row r="42">
      <c r="A42" t="inlineStr">
        <is>
          <t>Польща</t>
        </is>
      </c>
      <c r="B42" s="8">
        <f>Farm_results!L22</f>
        <v/>
      </c>
      <c r="C42" s="8">
        <f>Farm_results!M22</f>
        <v/>
      </c>
      <c r="D42" s="8">
        <f>Farm_results!N22</f>
        <v/>
      </c>
      <c r="E42" s="8">
        <f>Farm_results!O22</f>
        <v/>
      </c>
      <c r="F42" s="8">
        <f>Farm_results!L40</f>
        <v/>
      </c>
      <c r="G42" s="8">
        <f>Farm_results!M40</f>
        <v/>
      </c>
    </row>
    <row r="43">
      <c r="A43" t="inlineStr">
        <is>
          <t>Угорщина</t>
        </is>
      </c>
      <c r="B43" s="8">
        <f>Farm_results!L23</f>
        <v/>
      </c>
      <c r="C43" s="8">
        <f>Farm_results!M23</f>
        <v/>
      </c>
      <c r="D43" s="8">
        <f>Farm_results!N23</f>
        <v/>
      </c>
      <c r="E43" s="8">
        <f>Farm_results!O23</f>
        <v/>
      </c>
      <c r="F43" s="8">
        <f>Farm_results!L41</f>
        <v/>
      </c>
      <c r="G43" s="8">
        <f>Farm_results!M41</f>
        <v/>
      </c>
    </row>
    <row r="44">
      <c r="A44" t="inlineStr">
        <is>
          <t>Румунія</t>
        </is>
      </c>
      <c r="B44" s="8">
        <f>Farm_results!L24</f>
        <v/>
      </c>
      <c r="C44" s="8">
        <f>Farm_results!M24</f>
        <v/>
      </c>
      <c r="D44" s="8">
        <f>Farm_results!N24</f>
        <v/>
      </c>
      <c r="E44" s="8">
        <f>Farm_results!O24</f>
        <v/>
      </c>
      <c r="F44" s="8">
        <f>Farm_results!L42</f>
        <v/>
      </c>
      <c r="G44" s="8">
        <f>Farm_results!M42</f>
        <v/>
      </c>
    </row>
    <row r="45">
      <c r="A45" t="inlineStr">
        <is>
          <t>Чехія</t>
        </is>
      </c>
      <c r="B45" s="8">
        <f>Farm_results!L25</f>
        <v/>
      </c>
      <c r="C45" s="8">
        <f>Farm_results!M25</f>
        <v/>
      </c>
      <c r="D45" s="8">
        <f>Farm_results!N25</f>
        <v/>
      </c>
      <c r="E45" s="8">
        <f>Farm_results!O25</f>
        <v/>
      </c>
      <c r="F45" s="8">
        <f>Farm_results!L43</f>
        <v/>
      </c>
      <c r="G45" s="8">
        <f>Farm_results!M43</f>
        <v/>
      </c>
    </row>
    <row r="46">
      <c r="A46" t="inlineStr">
        <is>
          <t>Словаччина</t>
        </is>
      </c>
      <c r="B46" s="8">
        <f>Farm_results!L26</f>
        <v/>
      </c>
      <c r="C46" s="8">
        <f>Farm_results!M26</f>
        <v/>
      </c>
      <c r="D46" s="8">
        <f>Farm_results!N26</f>
        <v/>
      </c>
      <c r="E46" s="8">
        <f>Farm_results!O26</f>
        <v/>
      </c>
      <c r="F46" s="8">
        <f>Farm_results!L44</f>
        <v/>
      </c>
      <c r="G46" s="8">
        <f>Farm_results!M44</f>
        <v/>
      </c>
    </row>
    <row r="47">
      <c r="A47" t="inlineStr">
        <is>
          <t>Литва</t>
        </is>
      </c>
      <c r="B47" s="8">
        <f>Farm_results!L27</f>
        <v/>
      </c>
      <c r="C47" s="8">
        <f>Farm_results!M27</f>
        <v/>
      </c>
      <c r="D47" s="8">
        <f>Farm_results!N27</f>
        <v/>
      </c>
      <c r="E47" s="8">
        <f>Farm_results!O27</f>
        <v/>
      </c>
      <c r="F47" s="8">
        <f>Farm_results!L45</f>
        <v/>
      </c>
      <c r="G47" s="8">
        <f>Farm_results!M45</f>
        <v/>
      </c>
    </row>
    <row r="48">
      <c r="A48" t="inlineStr">
        <is>
          <t>Латвія</t>
        </is>
      </c>
      <c r="B48" s="8">
        <f>Farm_results!L28</f>
        <v/>
      </c>
      <c r="C48" s="8">
        <f>Farm_results!M28</f>
        <v/>
      </c>
      <c r="D48" s="8">
        <f>Farm_results!N28</f>
        <v/>
      </c>
      <c r="E48" s="8">
        <f>Farm_results!O28</f>
        <v/>
      </c>
      <c r="F48" s="8">
        <f>Farm_results!L46</f>
        <v/>
      </c>
      <c r="G48" s="8">
        <f>Farm_results!M46</f>
        <v/>
      </c>
    </row>
    <row r="49">
      <c r="A49" t="inlineStr">
        <is>
          <t>Естонія</t>
        </is>
      </c>
      <c r="B49" s="8">
        <f>Farm_results!L29</f>
        <v/>
      </c>
      <c r="C49" s="8">
        <f>Farm_results!M29</f>
        <v/>
      </c>
      <c r="D49" s="8">
        <f>Farm_results!N29</f>
        <v/>
      </c>
      <c r="E49" s="8">
        <f>Farm_results!O29</f>
        <v/>
      </c>
      <c r="F49" s="8">
        <f>Farm_results!L47</f>
        <v/>
      </c>
      <c r="G49" s="8">
        <f>Farm_results!M47</f>
        <v/>
      </c>
    </row>
    <row r="50">
      <c r="A50" t="inlineStr">
        <is>
          <t>Болгарія</t>
        </is>
      </c>
      <c r="B50" s="8">
        <f>Farm_results!L30</f>
        <v/>
      </c>
      <c r="C50" s="8">
        <f>Farm_results!M30</f>
        <v/>
      </c>
      <c r="D50" s="8">
        <f>Farm_results!N30</f>
        <v/>
      </c>
      <c r="E50" s="8">
        <f>Farm_results!O30</f>
        <v/>
      </c>
      <c r="F50" s="8">
        <f>Farm_results!L48</f>
        <v/>
      </c>
      <c r="G50" s="8">
        <f>Farm_results!M48</f>
        <v/>
      </c>
    </row>
    <row r="51">
      <c r="A51" t="inlineStr">
        <is>
          <t>Україна</t>
        </is>
      </c>
      <c r="B51" s="8">
        <f>Farm_results!L31</f>
        <v/>
      </c>
      <c r="C51" s="8">
        <f>Farm_results!M31</f>
        <v/>
      </c>
      <c r="D51" s="8">
        <f>Farm_results!N31</f>
        <v/>
      </c>
      <c r="E51" s="8">
        <f>Farm_results!O31</f>
        <v/>
      </c>
      <c r="F51" s="8">
        <f>Farm_results!L49</f>
        <v/>
      </c>
      <c r="G51" s="8">
        <f>Farm_results!M49</f>
        <v/>
      </c>
    </row>
    <row r="54">
      <c r="A54" s="3" t="inlineStr">
        <is>
          <t>Таблиця 4. Шарові показники харчової переробки (NACE C10–C12), статистичний режим ADMA</t>
        </is>
      </c>
    </row>
    <row r="55">
      <c r="A55" s="6" t="inlineStr">
        <is>
          <t>Одиниця</t>
        </is>
      </c>
      <c r="B55" s="6" t="inlineStr">
        <is>
          <t>C</t>
        </is>
      </c>
      <c r="C55" s="6" t="inlineStr">
        <is>
          <t>L1</t>
        </is>
      </c>
      <c r="D55" s="6" t="inlineStr">
        <is>
          <t>L2</t>
        </is>
      </c>
      <c r="E55" s="6" t="inlineStr">
        <is>
          <t>L3</t>
        </is>
      </c>
      <c r="F55" s="6" t="inlineStr">
        <is>
          <t>L4</t>
        </is>
      </c>
      <c r="G55" s="6" t="inlineStr">
        <is>
          <t>Середнє шарів</t>
        </is>
      </c>
      <c r="H55" s="6" t="inlineStr">
        <is>
          <t>Найслабший шар</t>
        </is>
      </c>
    </row>
    <row r="56">
      <c r="A56" t="inlineStr">
        <is>
          <t>ЄС-27</t>
        </is>
      </c>
      <c r="B56" s="8">
        <f>Processing_index!$S$4</f>
        <v/>
      </c>
      <c r="C56" s="8">
        <f>Processing_index!$T$4</f>
        <v/>
      </c>
      <c r="D56" s="8">
        <f>Processing_index!$U$4</f>
        <v/>
      </c>
      <c r="E56" s="8">
        <f>Processing_index!$V$4</f>
        <v/>
      </c>
      <c r="F56" s="8">
        <f>Processing_index!$W$4</f>
        <v/>
      </c>
      <c r="G56" s="9">
        <f>Processing_index!$Z$4</f>
        <v/>
      </c>
      <c r="H56">
        <f>Processing_index!$AB$4</f>
        <v/>
      </c>
    </row>
    <row r="57">
      <c r="A57" t="inlineStr">
        <is>
          <t>Німеччина</t>
        </is>
      </c>
      <c r="B57" s="8">
        <f>Processing_index!$S$5</f>
        <v/>
      </c>
      <c r="C57" s="8">
        <f>Processing_index!$T$5</f>
        <v/>
      </c>
      <c r="D57" s="8">
        <f>Processing_index!$U$5</f>
        <v/>
      </c>
      <c r="E57" s="8">
        <f>Processing_index!$V$5</f>
        <v/>
      </c>
      <c r="F57" s="8">
        <f>Processing_index!$W$5</f>
        <v/>
      </c>
      <c r="G57" s="9">
        <f>Processing_index!$Z$5</f>
        <v/>
      </c>
      <c r="H57">
        <f>Processing_index!$AB$5</f>
        <v/>
      </c>
    </row>
    <row r="58">
      <c r="A58" t="inlineStr">
        <is>
          <t>Литва</t>
        </is>
      </c>
      <c r="B58" s="8">
        <f>Processing_index!$S$11</f>
        <v/>
      </c>
      <c r="C58" s="8">
        <f>Processing_index!$T$11</f>
        <v/>
      </c>
      <c r="D58" s="8">
        <f>Processing_index!$U$11</f>
        <v/>
      </c>
      <c r="E58" s="8">
        <f>Processing_index!$V$11</f>
        <v/>
      </c>
      <c r="F58" s="8">
        <f>Processing_index!$W$11</f>
        <v/>
      </c>
      <c r="G58" s="9">
        <f>Processing_index!$Z$11</f>
        <v/>
      </c>
      <c r="H58">
        <f>Processing_index!$AB$11</f>
        <v/>
      </c>
    </row>
    <row r="59">
      <c r="A59" t="inlineStr">
        <is>
          <t>Чехія</t>
        </is>
      </c>
      <c r="B59" s="8">
        <f>Processing_index!$S$9</f>
        <v/>
      </c>
      <c r="C59" s="8">
        <f>Processing_index!$T$9</f>
        <v/>
      </c>
      <c r="D59" s="8">
        <f>Processing_index!$U$9</f>
        <v/>
      </c>
      <c r="E59" s="8">
        <f>Processing_index!$V$9</f>
        <v/>
      </c>
      <c r="F59" s="8">
        <f>Processing_index!$W$9</f>
        <v/>
      </c>
      <c r="G59" s="9">
        <f>Processing_index!$Z$9</f>
        <v/>
      </c>
      <c r="H59">
        <f>Processing_index!$AB$9</f>
        <v/>
      </c>
    </row>
    <row r="60">
      <c r="A60" t="inlineStr">
        <is>
          <t>Естонія</t>
        </is>
      </c>
      <c r="B60" s="8">
        <f>Processing_index!$S$13</f>
        <v/>
      </c>
      <c r="C60" s="8">
        <f>Processing_index!$T$13</f>
        <v/>
      </c>
      <c r="D60" s="8">
        <f>Processing_index!$U$13</f>
        <v/>
      </c>
      <c r="E60" s="8">
        <f>Processing_index!$V$13</f>
        <v/>
      </c>
      <c r="F60" s="8">
        <f>Processing_index!$W$13</f>
        <v/>
      </c>
      <c r="G60" s="9">
        <f>Processing_index!$Z$13</f>
        <v/>
      </c>
      <c r="H60">
        <f>Processing_index!$AB$13</f>
        <v/>
      </c>
    </row>
    <row r="61">
      <c r="A61" t="inlineStr">
        <is>
          <t>Латвія</t>
        </is>
      </c>
      <c r="B61" s="8">
        <f>Processing_index!$S$12</f>
        <v/>
      </c>
      <c r="C61" s="8">
        <f>Processing_index!$T$12</f>
        <v/>
      </c>
      <c r="D61" s="8">
        <f>Processing_index!$U$12</f>
        <v/>
      </c>
      <c r="E61" s="8">
        <f>Processing_index!$V$12</f>
        <v/>
      </c>
      <c r="F61" s="8">
        <f>Processing_index!$W$12</f>
        <v/>
      </c>
      <c r="G61" s="9">
        <f>Processing_index!$Z$12</f>
        <v/>
      </c>
      <c r="H61">
        <f>Processing_index!$AB$12</f>
        <v/>
      </c>
    </row>
    <row r="62">
      <c r="A62" t="inlineStr">
        <is>
          <t>Польща</t>
        </is>
      </c>
      <c r="B62" s="8">
        <f>Processing_index!$S$6</f>
        <v/>
      </c>
      <c r="C62" s="8">
        <f>Processing_index!$T$6</f>
        <v/>
      </c>
      <c r="D62" s="8">
        <f>Processing_index!$U$6</f>
        <v/>
      </c>
      <c r="E62" s="8">
        <f>Processing_index!$V$6</f>
        <v/>
      </c>
      <c r="F62" s="8">
        <f>Processing_index!$W$6</f>
        <v/>
      </c>
      <c r="G62" s="9">
        <f>Processing_index!$Z$6</f>
        <v/>
      </c>
      <c r="H62">
        <f>Processing_index!$AB$6</f>
        <v/>
      </c>
    </row>
    <row r="63">
      <c r="A63" t="inlineStr">
        <is>
          <t>Словаччина</t>
        </is>
      </c>
      <c r="B63" s="8">
        <f>Processing_index!$S$10</f>
        <v/>
      </c>
      <c r="C63" s="8">
        <f>Processing_index!$T$10</f>
        <v/>
      </c>
      <c r="D63" s="8">
        <f>Processing_index!$U$10</f>
        <v/>
      </c>
      <c r="E63" s="8">
        <f>Processing_index!$V$10</f>
        <v/>
      </c>
      <c r="F63" s="8">
        <f>Processing_index!$W$10</f>
        <v/>
      </c>
      <c r="G63" s="9">
        <f>Processing_index!$Z$10</f>
        <v/>
      </c>
      <c r="H63">
        <f>Processing_index!$AB$10</f>
        <v/>
      </c>
    </row>
    <row r="64">
      <c r="A64" t="inlineStr">
        <is>
          <t>Угорщина</t>
        </is>
      </c>
      <c r="B64" s="8">
        <f>Processing_index!$S$7</f>
        <v/>
      </c>
      <c r="C64" s="8">
        <f>Processing_index!$T$7</f>
        <v/>
      </c>
      <c r="D64" s="8">
        <f>Processing_index!$U$7</f>
        <v/>
      </c>
      <c r="E64" s="8">
        <f>Processing_index!$V$7</f>
        <v/>
      </c>
      <c r="F64" s="8">
        <f>Processing_index!$W$7</f>
        <v/>
      </c>
      <c r="G64" s="9">
        <f>Processing_index!$Z$7</f>
        <v/>
      </c>
      <c r="H64">
        <f>Processing_index!$AB$7</f>
        <v/>
      </c>
    </row>
    <row r="65">
      <c r="A65" t="inlineStr">
        <is>
          <t>Румунія</t>
        </is>
      </c>
      <c r="B65" s="8">
        <f>Processing_index!$S$8</f>
        <v/>
      </c>
      <c r="C65" s="8">
        <f>Processing_index!$T$8</f>
        <v/>
      </c>
      <c r="D65" s="8">
        <f>Processing_index!$U$8</f>
        <v/>
      </c>
      <c r="E65" s="8">
        <f>Processing_index!$V$8</f>
        <v/>
      </c>
      <c r="F65" s="8">
        <f>Processing_index!$W$8</f>
        <v/>
      </c>
      <c r="G65" s="9">
        <f>Processing_index!$Z$8</f>
        <v/>
      </c>
      <c r="H65">
        <f>Processing_index!$AB$8</f>
        <v/>
      </c>
    </row>
    <row r="66">
      <c r="A66" t="inlineStr">
        <is>
          <t>Україна</t>
        </is>
      </c>
      <c r="B66" s="8">
        <f>Processing_index!$S$15</f>
        <v/>
      </c>
      <c r="C66" s="8">
        <f>Processing_index!$T$15</f>
        <v/>
      </c>
      <c r="D66" s="8">
        <f>Processing_index!$U$15</f>
        <v/>
      </c>
      <c r="E66" s="8">
        <f>Processing_index!$V$15</f>
        <v/>
      </c>
      <c r="F66" s="8">
        <f>Processing_index!$W$15</f>
        <v/>
      </c>
      <c r="G66" s="9">
        <f>Processing_index!$Z$15</f>
        <v/>
      </c>
      <c r="H66">
        <f>Processing_index!$AB$15</f>
        <v/>
      </c>
    </row>
    <row r="67">
      <c r="A67" t="inlineStr">
        <is>
          <t>Болгарія</t>
        </is>
      </c>
      <c r="B67" s="8">
        <f>Processing_index!$S$14</f>
        <v/>
      </c>
      <c r="C67" s="8">
        <f>Processing_index!$T$14</f>
        <v/>
      </c>
      <c r="D67" s="8">
        <f>Processing_index!$U$14</f>
        <v/>
      </c>
      <c r="E67" s="8">
        <f>Processing_index!$V$14</f>
        <v/>
      </c>
      <c r="F67" s="8">
        <f>Processing_index!$W$14</f>
        <v/>
      </c>
      <c r="G67" s="9">
        <f>Processing_index!$Z$14</f>
        <v/>
      </c>
      <c r="H67">
        <f>Processing_index!$AB$14</f>
        <v/>
      </c>
    </row>
    <row r="70">
      <c r="A70" s="3" t="inlineStr">
        <is>
          <t>Таблиця 5. ADMI, рівень зрілості і показники поза індексом для харчової переробки</t>
        </is>
      </c>
    </row>
    <row r="71">
      <c r="A71" s="6" t="inlineStr">
        <is>
          <t>Одиниця</t>
        </is>
      </c>
      <c r="B71" s="6" t="inlineStr">
        <is>
          <t>Середнє шарів</t>
        </is>
      </c>
      <c r="C71" s="6" t="inlineStr">
        <is>
          <t>Штраф</t>
        </is>
      </c>
      <c r="D71" s="6" t="inlineStr">
        <is>
          <t>ADMI</t>
        </is>
      </c>
      <c r="E71" s="6" t="inlineStr">
        <is>
          <t>Рівень</t>
        </is>
      </c>
      <c r="F71" s="6" t="inlineStr">
        <is>
          <t>DM_I</t>
        </is>
      </c>
      <c r="G71" s="6" t="inlineStr">
        <is>
          <t>DM_S</t>
        </is>
      </c>
    </row>
    <row r="72">
      <c r="A72" t="inlineStr">
        <is>
          <t>ЄС-27</t>
        </is>
      </c>
      <c r="B72" s="9">
        <f>Processing_index!$Z$4</f>
        <v/>
      </c>
      <c r="C72" s="9">
        <f>Processing_index!$AC$4</f>
        <v/>
      </c>
      <c r="D72" s="9">
        <f>Processing_index!$AD$4</f>
        <v/>
      </c>
      <c r="E72" s="10">
        <f>Processing_index!$AE$4</f>
        <v/>
      </c>
      <c r="F72" s="8">
        <f>Processing_index!$X$4</f>
        <v/>
      </c>
      <c r="G72" s="8">
        <f>Processing_index!$Y$4</f>
        <v/>
      </c>
    </row>
    <row r="73">
      <c r="A73" t="inlineStr">
        <is>
          <t>Німеччина</t>
        </is>
      </c>
      <c r="B73" s="9">
        <f>Processing_index!$Z$5</f>
        <v/>
      </c>
      <c r="C73" s="9">
        <f>Processing_index!$AC$5</f>
        <v/>
      </c>
      <c r="D73" s="9">
        <f>Processing_index!$AD$5</f>
        <v/>
      </c>
      <c r="E73" s="10">
        <f>Processing_index!$AE$5</f>
        <v/>
      </c>
      <c r="F73" s="8">
        <f>Processing_index!$X$5</f>
        <v/>
      </c>
      <c r="G73" s="8">
        <f>Processing_index!$Y$5</f>
        <v/>
      </c>
    </row>
    <row r="74">
      <c r="A74" t="inlineStr">
        <is>
          <t>Литва</t>
        </is>
      </c>
      <c r="B74" s="9">
        <f>Processing_index!$Z$11</f>
        <v/>
      </c>
      <c r="C74" s="9">
        <f>Processing_index!$AC$11</f>
        <v/>
      </c>
      <c r="D74" s="9">
        <f>Processing_index!$AD$11</f>
        <v/>
      </c>
      <c r="E74" s="10">
        <f>Processing_index!$AE$11</f>
        <v/>
      </c>
      <c r="F74" s="8">
        <f>Processing_index!$X$11</f>
        <v/>
      </c>
      <c r="G74" s="8">
        <f>Processing_index!$Y$11</f>
        <v/>
      </c>
    </row>
    <row r="75">
      <c r="A75" t="inlineStr">
        <is>
          <t>Чехія</t>
        </is>
      </c>
      <c r="B75" s="9">
        <f>Processing_index!$Z$9</f>
        <v/>
      </c>
      <c r="C75" s="9">
        <f>Processing_index!$AC$9</f>
        <v/>
      </c>
      <c r="D75" s="9">
        <f>Processing_index!$AD$9</f>
        <v/>
      </c>
      <c r="E75" s="10">
        <f>Processing_index!$AE$9</f>
        <v/>
      </c>
      <c r="F75" s="8">
        <f>Processing_index!$X$9</f>
        <v/>
      </c>
      <c r="G75" s="8">
        <f>Processing_index!$Y$9</f>
        <v/>
      </c>
    </row>
    <row r="76">
      <c r="A76" t="inlineStr">
        <is>
          <t>Естонія</t>
        </is>
      </c>
      <c r="B76" s="9">
        <f>Processing_index!$Z$13</f>
        <v/>
      </c>
      <c r="C76" s="9">
        <f>Processing_index!$AC$13</f>
        <v/>
      </c>
      <c r="D76" s="9">
        <f>Processing_index!$AD$13</f>
        <v/>
      </c>
      <c r="E76" s="10">
        <f>Processing_index!$AE$13</f>
        <v/>
      </c>
      <c r="F76" s="8">
        <f>Processing_index!$X$13</f>
        <v/>
      </c>
      <c r="G76" s="8">
        <f>Processing_index!$Y$13</f>
        <v/>
      </c>
    </row>
    <row r="77">
      <c r="A77" t="inlineStr">
        <is>
          <t>Латвія</t>
        </is>
      </c>
      <c r="B77" s="9">
        <f>Processing_index!$Z$12</f>
        <v/>
      </c>
      <c r="C77" s="9">
        <f>Processing_index!$AC$12</f>
        <v/>
      </c>
      <c r="D77" s="9">
        <f>Processing_index!$AD$12</f>
        <v/>
      </c>
      <c r="E77" s="10">
        <f>Processing_index!$AE$12</f>
        <v/>
      </c>
      <c r="F77" s="8">
        <f>Processing_index!$X$12</f>
        <v/>
      </c>
      <c r="G77" s="8">
        <f>Processing_index!$Y$12</f>
        <v/>
      </c>
    </row>
    <row r="78">
      <c r="A78" t="inlineStr">
        <is>
          <t>Польща</t>
        </is>
      </c>
      <c r="B78" s="9">
        <f>Processing_index!$Z$6</f>
        <v/>
      </c>
      <c r="C78" s="9">
        <f>Processing_index!$AC$6</f>
        <v/>
      </c>
      <c r="D78" s="9">
        <f>Processing_index!$AD$6</f>
        <v/>
      </c>
      <c r="E78" s="10">
        <f>Processing_index!$AE$6</f>
        <v/>
      </c>
      <c r="F78" s="8">
        <f>Processing_index!$X$6</f>
        <v/>
      </c>
      <c r="G78" s="8">
        <f>Processing_index!$Y$6</f>
        <v/>
      </c>
    </row>
    <row r="79">
      <c r="A79" t="inlineStr">
        <is>
          <t>Словаччина</t>
        </is>
      </c>
      <c r="B79" s="9">
        <f>Processing_index!$Z$10</f>
        <v/>
      </c>
      <c r="C79" s="9">
        <f>Processing_index!$AC$10</f>
        <v/>
      </c>
      <c r="D79" s="9">
        <f>Processing_index!$AD$10</f>
        <v/>
      </c>
      <c r="E79" s="10">
        <f>Processing_index!$AE$10</f>
        <v/>
      </c>
      <c r="F79" s="8">
        <f>Processing_index!$X$10</f>
        <v/>
      </c>
      <c r="G79" s="8">
        <f>Processing_index!$Y$10</f>
        <v/>
      </c>
    </row>
    <row r="80">
      <c r="A80" t="inlineStr">
        <is>
          <t>Угорщина</t>
        </is>
      </c>
      <c r="B80" s="9">
        <f>Processing_index!$Z$7</f>
        <v/>
      </c>
      <c r="C80" s="9">
        <f>Processing_index!$AC$7</f>
        <v/>
      </c>
      <c r="D80" s="9">
        <f>Processing_index!$AD$7</f>
        <v/>
      </c>
      <c r="E80" s="10">
        <f>Processing_index!$AE$7</f>
        <v/>
      </c>
      <c r="F80" s="8">
        <f>Processing_index!$X$7</f>
        <v/>
      </c>
      <c r="G80" s="8">
        <f>Processing_index!$Y$7</f>
        <v/>
      </c>
    </row>
    <row r="81">
      <c r="A81" t="inlineStr">
        <is>
          <t>Румунія</t>
        </is>
      </c>
      <c r="B81" s="9">
        <f>Processing_index!$Z$8</f>
        <v/>
      </c>
      <c r="C81" s="9">
        <f>Processing_index!$AC$8</f>
        <v/>
      </c>
      <c r="D81" s="9">
        <f>Processing_index!$AD$8</f>
        <v/>
      </c>
      <c r="E81" s="10">
        <f>Processing_index!$AE$8</f>
        <v/>
      </c>
      <c r="F81" s="8">
        <f>Processing_index!$X$8</f>
        <v/>
      </c>
      <c r="G81" s="8">
        <f>Processing_index!$Y$8</f>
        <v/>
      </c>
    </row>
    <row r="82">
      <c r="A82" t="inlineStr">
        <is>
          <t>Україна</t>
        </is>
      </c>
      <c r="B82" s="9">
        <f>Processing_index!$Z$15</f>
        <v/>
      </c>
      <c r="C82" s="9">
        <f>Processing_index!$AC$15</f>
        <v/>
      </c>
      <c r="D82" s="9">
        <f>Processing_index!$AD$15</f>
        <v/>
      </c>
      <c r="E82" s="10">
        <f>Processing_index!$AE$15</f>
        <v/>
      </c>
      <c r="F82" s="8">
        <f>Processing_index!$X$15</f>
        <v/>
      </c>
      <c r="G82" s="8">
        <f>Processing_index!$Y$15</f>
        <v/>
      </c>
    </row>
    <row r="83">
      <c r="A83" t="inlineStr">
        <is>
          <t>Болгарія</t>
        </is>
      </c>
      <c r="B83" s="9">
        <f>Processing_index!$Z$14</f>
        <v/>
      </c>
      <c r="C83" s="9">
        <f>Processing_index!$AC$14</f>
        <v/>
      </c>
      <c r="D83" s="9">
        <f>Processing_index!$AD$14</f>
        <v/>
      </c>
      <c r="E83" s="10">
        <f>Processing_index!$AE$14</f>
        <v/>
      </c>
      <c r="F83" s="8">
        <f>Processing_index!$X$14</f>
        <v/>
      </c>
      <c r="G83" s="8">
        <f>Processing_index!$Y$14</f>
        <v/>
      </c>
    </row>
    <row r="86">
      <c r="A86" s="3" t="inlineStr">
        <is>
          <t>Таблиця 6. Ранжування нових членів ЄС і України за ADMI, TOPSIS і нормалізацією min–max</t>
        </is>
      </c>
    </row>
    <row r="87">
      <c r="A87" s="6" t="inlineStr">
        <is>
          <t>Ранг ADMI</t>
        </is>
      </c>
      <c r="B87" s="6" t="inlineStr">
        <is>
          <t>Одиниця</t>
        </is>
      </c>
      <c r="C87" s="6" t="inlineStr">
        <is>
          <t>ADMI</t>
        </is>
      </c>
      <c r="D87" s="6" t="inlineStr">
        <is>
          <t>TOPSIS, близькість</t>
        </is>
      </c>
      <c r="E87" s="6" t="inlineStr">
        <is>
          <t>Ранг TOPSIS</t>
        </is>
      </c>
      <c r="F87" s="6" t="inlineStr">
        <is>
          <t>Ранг TOPSIS (рівні ваги)</t>
        </is>
      </c>
      <c r="G87" s="6" t="inlineStr">
        <is>
          <t>ADMI min–max</t>
        </is>
      </c>
      <c r="H87" s="6" t="inlineStr">
        <is>
          <t>Ранг min–max</t>
        </is>
      </c>
    </row>
    <row r="88">
      <c r="A88" s="10">
        <f>Processing_index!$AF$11</f>
        <v/>
      </c>
      <c r="B88" t="inlineStr">
        <is>
          <t>Литва</t>
        </is>
      </c>
      <c r="C88" s="9">
        <f>Processing_index!$AD$11</f>
        <v/>
      </c>
      <c r="D88" s="9">
        <f>TOPSIS!$I$28</f>
        <v/>
      </c>
      <c r="E88" s="10">
        <f>TOPSIS!$J$28</f>
        <v/>
      </c>
      <c r="F88" s="10">
        <f>TOPSIS!$J$46</f>
        <v/>
      </c>
      <c r="G88" s="9">
        <f>Normalisation_check!$AD$11</f>
        <v/>
      </c>
      <c r="H88" s="10">
        <f>Normalisation_check!$AF$11</f>
        <v/>
      </c>
    </row>
    <row r="89">
      <c r="A89" s="10">
        <f>Processing_index!$AF$9</f>
        <v/>
      </c>
      <c r="B89" t="inlineStr">
        <is>
          <t>Чехія</t>
        </is>
      </c>
      <c r="C89" s="9">
        <f>Processing_index!$AD$9</f>
        <v/>
      </c>
      <c r="D89" s="9">
        <f>TOPSIS!$I$26</f>
        <v/>
      </c>
      <c r="E89" s="10">
        <f>TOPSIS!$J$26</f>
        <v/>
      </c>
      <c r="F89" s="10">
        <f>TOPSIS!$J$44</f>
        <v/>
      </c>
      <c r="G89" s="9">
        <f>Normalisation_check!$AD$9</f>
        <v/>
      </c>
      <c r="H89" s="10">
        <f>Normalisation_check!$AF$9</f>
        <v/>
      </c>
    </row>
    <row r="90">
      <c r="A90" s="10">
        <f>Processing_index!$AF$13</f>
        <v/>
      </c>
      <c r="B90" t="inlineStr">
        <is>
          <t>Естонія</t>
        </is>
      </c>
      <c r="C90" s="9">
        <f>Processing_index!$AD$13</f>
        <v/>
      </c>
      <c r="D90" s="9">
        <f>TOPSIS!$I$30</f>
        <v/>
      </c>
      <c r="E90" s="10">
        <f>TOPSIS!$J$30</f>
        <v/>
      </c>
      <c r="F90" s="10">
        <f>TOPSIS!$J$48</f>
        <v/>
      </c>
      <c r="G90" s="9">
        <f>Normalisation_check!$AD$13</f>
        <v/>
      </c>
      <c r="H90" s="10">
        <f>Normalisation_check!$AF$13</f>
        <v/>
      </c>
    </row>
    <row r="91">
      <c r="A91" s="10">
        <f>Processing_index!$AF$12</f>
        <v/>
      </c>
      <c r="B91" t="inlineStr">
        <is>
          <t>Латвія</t>
        </is>
      </c>
      <c r="C91" s="9">
        <f>Processing_index!$AD$12</f>
        <v/>
      </c>
      <c r="D91" s="9">
        <f>TOPSIS!$I$29</f>
        <v/>
      </c>
      <c r="E91" s="10">
        <f>TOPSIS!$J$29</f>
        <v/>
      </c>
      <c r="F91" s="10">
        <f>TOPSIS!$J$47</f>
        <v/>
      </c>
      <c r="G91" s="9">
        <f>Normalisation_check!$AD$12</f>
        <v/>
      </c>
      <c r="H91" s="10">
        <f>Normalisation_check!$AF$12</f>
        <v/>
      </c>
    </row>
    <row r="92">
      <c r="A92" s="10">
        <f>Processing_index!$AF$6</f>
        <v/>
      </c>
      <c r="B92" t="inlineStr">
        <is>
          <t>Польща</t>
        </is>
      </c>
      <c r="C92" s="9">
        <f>Processing_index!$AD$6</f>
        <v/>
      </c>
      <c r="D92" s="9">
        <f>TOPSIS!$I$23</f>
        <v/>
      </c>
      <c r="E92" s="10">
        <f>TOPSIS!$J$23</f>
        <v/>
      </c>
      <c r="F92" s="10">
        <f>TOPSIS!$J$41</f>
        <v/>
      </c>
      <c r="G92" s="9">
        <f>Normalisation_check!$AD$6</f>
        <v/>
      </c>
      <c r="H92" s="10">
        <f>Normalisation_check!$AF$6</f>
        <v/>
      </c>
    </row>
    <row r="93">
      <c r="A93" s="10">
        <f>Processing_index!$AF$10</f>
        <v/>
      </c>
      <c r="B93" t="inlineStr">
        <is>
          <t>Словаччина</t>
        </is>
      </c>
      <c r="C93" s="9">
        <f>Processing_index!$AD$10</f>
        <v/>
      </c>
      <c r="D93" s="9">
        <f>TOPSIS!$I$27</f>
        <v/>
      </c>
      <c r="E93" s="10">
        <f>TOPSIS!$J$27</f>
        <v/>
      </c>
      <c r="F93" s="10">
        <f>TOPSIS!$J$45</f>
        <v/>
      </c>
      <c r="G93" s="9">
        <f>Normalisation_check!$AD$10</f>
        <v/>
      </c>
      <c r="H93" s="10">
        <f>Normalisation_check!$AF$10</f>
        <v/>
      </c>
    </row>
    <row r="94">
      <c r="A94" s="10">
        <f>Processing_index!$AF$7</f>
        <v/>
      </c>
      <c r="B94" t="inlineStr">
        <is>
          <t>Угорщина</t>
        </is>
      </c>
      <c r="C94" s="9">
        <f>Processing_index!$AD$7</f>
        <v/>
      </c>
      <c r="D94" s="9">
        <f>TOPSIS!$I$24</f>
        <v/>
      </c>
      <c r="E94" s="10">
        <f>TOPSIS!$J$24</f>
        <v/>
      </c>
      <c r="F94" s="10">
        <f>TOPSIS!$J$42</f>
        <v/>
      </c>
      <c r="G94" s="9">
        <f>Normalisation_check!$AD$7</f>
        <v/>
      </c>
      <c r="H94" s="10">
        <f>Normalisation_check!$AF$7</f>
        <v/>
      </c>
    </row>
    <row r="95">
      <c r="A95" s="10">
        <f>Processing_index!$AF$8</f>
        <v/>
      </c>
      <c r="B95" t="inlineStr">
        <is>
          <t>Румунія</t>
        </is>
      </c>
      <c r="C95" s="9">
        <f>Processing_index!$AD$8</f>
        <v/>
      </c>
      <c r="D95" s="9">
        <f>TOPSIS!$I$25</f>
        <v/>
      </c>
      <c r="E95" s="10">
        <f>TOPSIS!$J$25</f>
        <v/>
      </c>
      <c r="F95" s="10">
        <f>TOPSIS!$J$43</f>
        <v/>
      </c>
      <c r="G95" s="9">
        <f>Normalisation_check!$AD$8</f>
        <v/>
      </c>
      <c r="H95" s="10">
        <f>Normalisation_check!$AF$8</f>
        <v/>
      </c>
    </row>
    <row r="96">
      <c r="A96" s="10">
        <f>Processing_index!$AF$15</f>
        <v/>
      </c>
      <c r="B96" t="inlineStr">
        <is>
          <t>Україна</t>
        </is>
      </c>
      <c r="C96" s="9">
        <f>Processing_index!$AD$15</f>
        <v/>
      </c>
      <c r="D96" s="9">
        <f>TOPSIS!$I$32</f>
        <v/>
      </c>
      <c r="E96" s="10">
        <f>TOPSIS!$J$32</f>
        <v/>
      </c>
      <c r="F96" s="10">
        <f>TOPSIS!$J$50</f>
        <v/>
      </c>
      <c r="G96" s="9">
        <f>Normalisation_check!$AD$15</f>
        <v/>
      </c>
      <c r="H96" s="10">
        <f>Normalisation_check!$AF$15</f>
        <v/>
      </c>
    </row>
    <row r="97">
      <c r="A97" s="10">
        <f>Processing_index!$AF$14</f>
        <v/>
      </c>
      <c r="B97" t="inlineStr">
        <is>
          <t>Болгарія</t>
        </is>
      </c>
      <c r="C97" s="9">
        <f>Processing_index!$AD$14</f>
        <v/>
      </c>
      <c r="D97" s="9">
        <f>TOPSIS!$I$31</f>
        <v/>
      </c>
      <c r="E97" s="10">
        <f>TOPSIS!$J$31</f>
        <v/>
      </c>
      <c r="F97" s="10">
        <f>TOPSIS!$J$49</f>
        <v/>
      </c>
      <c r="G97" s="9">
        <f>Normalisation_check!$AD$14</f>
        <v/>
      </c>
      <c r="H97" s="10">
        <f>Normalisation_check!$AF$14</f>
        <v/>
      </c>
    </row>
    <row r="98">
      <c r="A98" s="11" t="inlineStr">
        <is>
          <t>Ентропійні ваги</t>
        </is>
      </c>
      <c r="B98" s="11" t="inlineStr">
        <is>
          <t>C</t>
        </is>
      </c>
      <c r="C98" s="11" t="inlineStr">
        <is>
          <t>L1</t>
        </is>
      </c>
      <c r="D98" s="11" t="inlineStr">
        <is>
          <t>L2</t>
        </is>
      </c>
      <c r="E98" s="11" t="inlineStr">
        <is>
          <t>L3</t>
        </is>
      </c>
      <c r="F98" s="11" t="inlineStr">
        <is>
          <t>L4</t>
        </is>
      </c>
    </row>
    <row r="99">
      <c r="B99" s="9">
        <f>TOPSIS!$B$18</f>
        <v/>
      </c>
      <c r="C99" s="9">
        <f>TOPSIS!$C$18</f>
        <v/>
      </c>
      <c r="D99" s="9">
        <f>TOPSIS!$D$18</f>
        <v/>
      </c>
      <c r="E99" s="9">
        <f>TOPSIS!$E$18</f>
        <v/>
      </c>
      <c r="F99" s="9">
        <f>TOPSIS!$F$18</f>
        <v/>
      </c>
    </row>
    <row r="100">
      <c r="A100" t="inlineStr">
        <is>
          <t>Спірмен ADMI і TOPSIS</t>
        </is>
      </c>
      <c r="B100" s="9">
        <f>TOPSIS!$B$60</f>
        <v/>
      </c>
    </row>
    <row r="101">
      <c r="A101" t="inlineStr">
        <is>
          <t>Пірсон ADMI і близькість TOPSIS</t>
        </is>
      </c>
      <c r="B101" s="9">
        <f>TOPSIS!$B$61</f>
        <v/>
      </c>
    </row>
    <row r="102">
      <c r="A102" t="inlineStr">
        <is>
          <t>Спірмен TOPSIS, ентропійні і рівні ваги</t>
        </is>
      </c>
      <c r="B102" s="9">
        <f>TOPSIS!$B$62</f>
        <v/>
      </c>
    </row>
    <row r="105">
      <c r="A105" s="3" t="inlineStr">
        <is>
          <t>Таблиця 7. Чутливість ранжування за ADMI до рішень методики</t>
        </is>
      </c>
    </row>
    <row r="106">
      <c r="A106" s="6" t="inlineStr">
        <is>
          <t>Перевірка</t>
        </is>
      </c>
      <c r="B106" s="6" t="inlineStr">
        <is>
          <t>Варіантів</t>
        </is>
      </c>
      <c r="C106" s="6" t="inlineStr">
        <is>
          <t>Мінімальний ρ з базовим ранжуванням</t>
        </is>
      </c>
      <c r="D106" s="6" t="inlineStr">
        <is>
          <t>Зміни позицій</t>
        </is>
      </c>
    </row>
    <row r="107">
      <c r="A107" t="inlineStr">
        <is>
          <t>Сила штрафу alpha від 0 до 1,0</t>
        </is>
      </c>
      <c r="B107">
        <f>COUNT(Sensitivity!$E$16,Sensitivity!$G$16,Sensitivity!$I$16,Sensitivity!$K$16,Sensitivity!$M$16,Sensitivity!$O$16)</f>
        <v/>
      </c>
      <c r="C107" s="9">
        <f>MIN(Sensitivity!$E$16,Sensitivity!$G$16,Sensitivity!$I$16,Sensitivity!$K$16,Sensitivity!$M$16,Sensitivity!$O$16)</f>
        <v/>
      </c>
      <c r="D107" t="inlineStr">
        <is>
          <t>Польща і Латвія за alpha понад 0,53</t>
        </is>
      </c>
    </row>
    <row r="108">
      <c r="A108" t="inlineStr">
        <is>
          <t>Поріг delta від 0,25 до 0,55</t>
        </is>
      </c>
      <c r="B108">
        <f>COUNT(Sensitivity!$E$34,Sensitivity!$G$34,Sensitivity!$I$34,Sensitivity!$K$34,Sensitivity!$M$34)</f>
        <v/>
      </c>
      <c r="C108" s="9">
        <f>MIN(Sensitivity!$E$34,Sensitivity!$G$34,Sensitivity!$I$34,Sensitivity!$K$34,Sensitivity!$M$34)</f>
        <v/>
      </c>
      <c r="D108" t="inlineStr">
        <is>
          <t>немає</t>
        </is>
      </c>
    </row>
    <row r="109">
      <c r="A109" t="inlineStr">
        <is>
          <t>Середнє геометричне шарів</t>
        </is>
      </c>
      <c r="B109">
        <f>COUNT(Sensitivity!$B$51)</f>
        <v/>
      </c>
      <c r="C109" s="9">
        <f>MIN(Sensitivity!$B$51)</f>
        <v/>
      </c>
      <c r="D109" t="inlineStr">
        <is>
          <t>немає</t>
        </is>
      </c>
    </row>
    <row r="110">
      <c r="A110" t="inlineStr">
        <is>
          <t>Вилучення одного з 13 показників</t>
        </is>
      </c>
      <c r="B110">
        <f>COUNT(Sensitivity!$B$84,Sensitivity!$B$99,Sensitivity!$B$114,Sensitivity!$B$129,Sensitivity!$B$144,Sensitivity!$B$159,Sensitivity!$B$174,Sensitivity!$B$189,Sensitivity!$B$204,Sensitivity!$B$219,Sensitivity!$B$234,Sensitivity!$B$249,Sensitivity!$B$264)</f>
        <v/>
      </c>
      <c r="C110" s="9">
        <f>MIN(Sensitivity!$B$84,Sensitivity!$B$99,Sensitivity!$B$114,Sensitivity!$B$129,Sensitivity!$B$144,Sensitivity!$B$159,Sensitivity!$B$174,Sensitivity!$B$189,Sensitivity!$B$204,Sensitivity!$B$219,Sensitivity!$B$234,Sensitivity!$B$249,Sensitivity!$B$264)</f>
        <v/>
      </c>
      <c r="D110" t="inlineStr">
        <is>
          <t>Польща і Латвія у 6 випадках, Україна і Болгарія у 2, поодинокі в середині групи</t>
        </is>
      </c>
    </row>
    <row r="111">
      <c r="A111" t="inlineStr">
        <is>
          <t>Вилучення одного з п'яти шарів</t>
        </is>
      </c>
      <c r="B111">
        <f>COUNT(Sensitivity!$B$288,Sensitivity!$B$303,Sensitivity!$B$318,Sensitivity!$B$333,Sensitivity!$B$348)</f>
        <v/>
      </c>
      <c r="C111" s="9">
        <f>MIN(Sensitivity!$B$288,Sensitivity!$B$303,Sensitivity!$B$318,Sensitivity!$B$333,Sensitivity!$B$348)</f>
        <v/>
      </c>
      <c r="D111" t="inlineStr">
        <is>
          <t>без L4 три перестановки в середині групи. Без L1 Україна і Болгарія, Польща і Словаччина</t>
        </is>
      </c>
    </row>
    <row r="112">
      <c r="A112" t="inlineStr">
        <is>
          <t>Лише пари з розривом років не більше одного</t>
        </is>
      </c>
      <c r="B112">
        <f>COUNT(Sensitivity!$B$367)</f>
        <v/>
      </c>
      <c r="C112" s="9">
        <f>MIN(Sensitivity!$B$367)</f>
        <v/>
      </c>
      <c r="D112" t="inlineStr">
        <is>
          <t>Україна і Болгарія</t>
        </is>
      </c>
    </row>
    <row r="113">
      <c r="A113" t="inlineStr">
        <is>
          <t>Перенесення показника портативних пристроїв з L3 до L1</t>
        </is>
      </c>
      <c r="B113">
        <f>COUNT(Sensitivity!$B$385)</f>
        <v/>
      </c>
      <c r="C113" s="9">
        <f>MIN(Sensitivity!$B$385)</f>
        <v/>
      </c>
      <c r="D113" t="inlineStr">
        <is>
          <t>Чехія і Естонія</t>
        </is>
      </c>
    </row>
    <row r="116">
      <c r="A116" s="3" t="inlineStr">
        <is>
          <t>Таблиця 8. Позиція одиниць відносно ЄС-27 і зосередження цифрових технологій у великих господарствах</t>
        </is>
      </c>
    </row>
    <row r="117">
      <c r="A117" s="6" t="inlineStr">
        <is>
          <t>Одиниця</t>
        </is>
      </c>
      <c r="B117" s="6" t="inlineStr">
        <is>
          <t>ADMI / ЄС-27</t>
        </is>
      </c>
      <c r="C117" s="6" t="inlineStr">
        <is>
          <t>DM_C / ЄС-27</t>
        </is>
      </c>
      <c r="D117" s="6" t="inlineStr">
        <is>
          <t>DM_L3 / ЄС-27</t>
        </is>
      </c>
      <c r="E117" s="6" t="inlineStr">
        <is>
          <t>Великі / усі господарства</t>
        </is>
      </c>
    </row>
    <row r="118">
      <c r="A118" t="inlineStr">
        <is>
          <t>ЄС-27</t>
        </is>
      </c>
      <c r="B118" s="8">
        <f>Transition_checks!$B$4</f>
        <v/>
      </c>
      <c r="C118" s="8">
        <f>Transition_checks!$C$4</f>
        <v/>
      </c>
      <c r="D118" s="8">
        <f>Transition_checks!$D$4</f>
        <v/>
      </c>
      <c r="E118" s="7">
        <f>Transition_checks!$K$4</f>
        <v/>
      </c>
    </row>
    <row r="119">
      <c r="A119" t="inlineStr">
        <is>
          <t>Німеччина</t>
        </is>
      </c>
      <c r="B119" s="8">
        <f>Transition_checks!$B$5</f>
        <v/>
      </c>
      <c r="C119" s="8">
        <f>Transition_checks!$C$5</f>
        <v/>
      </c>
      <c r="D119" s="8">
        <f>Transition_checks!$D$5</f>
        <v/>
      </c>
      <c r="E119" s="7">
        <f>Transition_checks!$K$5</f>
        <v/>
      </c>
    </row>
    <row r="120">
      <c r="A120" t="inlineStr">
        <is>
          <t>Литва</t>
        </is>
      </c>
      <c r="B120" s="8">
        <f>Transition_checks!$B$11</f>
        <v/>
      </c>
      <c r="C120" s="8">
        <f>Transition_checks!$C$11</f>
        <v/>
      </c>
      <c r="D120" s="8">
        <f>Transition_checks!$D$11</f>
        <v/>
      </c>
      <c r="E120" s="7">
        <f>Transition_checks!$K$11</f>
        <v/>
      </c>
    </row>
    <row r="121">
      <c r="A121" t="inlineStr">
        <is>
          <t>Чехія</t>
        </is>
      </c>
      <c r="B121" s="8">
        <f>Transition_checks!$B$9</f>
        <v/>
      </c>
      <c r="C121" s="8">
        <f>Transition_checks!$C$9</f>
        <v/>
      </c>
      <c r="D121" s="8">
        <f>Transition_checks!$D$9</f>
        <v/>
      </c>
      <c r="E121" s="7">
        <f>Transition_checks!$K$9</f>
        <v/>
      </c>
    </row>
    <row r="122">
      <c r="A122" t="inlineStr">
        <is>
          <t>Естонія</t>
        </is>
      </c>
      <c r="B122" s="8">
        <f>Transition_checks!$B$13</f>
        <v/>
      </c>
      <c r="C122" s="8">
        <f>Transition_checks!$C$13</f>
        <v/>
      </c>
      <c r="D122" s="8">
        <f>Transition_checks!$D$13</f>
        <v/>
      </c>
      <c r="E122" s="7">
        <f>Transition_checks!$K$13</f>
        <v/>
      </c>
    </row>
    <row r="123">
      <c r="A123" t="inlineStr">
        <is>
          <t>Латвія</t>
        </is>
      </c>
      <c r="B123" s="8">
        <f>Transition_checks!$B$12</f>
        <v/>
      </c>
      <c r="C123" s="8">
        <f>Transition_checks!$C$12</f>
        <v/>
      </c>
      <c r="D123" s="8">
        <f>Transition_checks!$D$12</f>
        <v/>
      </c>
      <c r="E123" s="7">
        <f>Transition_checks!$K$12</f>
        <v/>
      </c>
    </row>
    <row r="124">
      <c r="A124" t="inlineStr">
        <is>
          <t>Польща</t>
        </is>
      </c>
      <c r="B124" s="8">
        <f>Transition_checks!$B$6</f>
        <v/>
      </c>
      <c r="C124" s="8">
        <f>Transition_checks!$C$6</f>
        <v/>
      </c>
      <c r="D124" s="8">
        <f>Transition_checks!$D$6</f>
        <v/>
      </c>
      <c r="E124" s="7">
        <f>Transition_checks!$K$6</f>
        <v/>
      </c>
    </row>
    <row r="125">
      <c r="A125" t="inlineStr">
        <is>
          <t>Словаччина</t>
        </is>
      </c>
      <c r="B125" s="8">
        <f>Transition_checks!$B$10</f>
        <v/>
      </c>
      <c r="C125" s="8">
        <f>Transition_checks!$C$10</f>
        <v/>
      </c>
      <c r="D125" s="8">
        <f>Transition_checks!$D$10</f>
        <v/>
      </c>
      <c r="E125" s="7">
        <f>Transition_checks!$K$10</f>
        <v/>
      </c>
    </row>
    <row r="126">
      <c r="A126" t="inlineStr">
        <is>
          <t>Угорщина</t>
        </is>
      </c>
      <c r="B126" s="8">
        <f>Transition_checks!$B$7</f>
        <v/>
      </c>
      <c r="C126" s="8">
        <f>Transition_checks!$C$7</f>
        <v/>
      </c>
      <c r="D126" s="8">
        <f>Transition_checks!$D$7</f>
        <v/>
      </c>
      <c r="E126" s="7">
        <f>Transition_checks!$K$7</f>
        <v/>
      </c>
    </row>
    <row r="127">
      <c r="A127" t="inlineStr">
        <is>
          <t>Румунія</t>
        </is>
      </c>
      <c r="B127" s="8">
        <f>Transition_checks!$B$8</f>
        <v/>
      </c>
      <c r="C127" s="8">
        <f>Transition_checks!$C$8</f>
        <v/>
      </c>
      <c r="D127" s="8">
        <f>Transition_checks!$D$8</f>
        <v/>
      </c>
      <c r="E127" s="7">
        <f>Transition_checks!$K$8</f>
        <v/>
      </c>
    </row>
    <row r="128">
      <c r="A128" t="inlineStr">
        <is>
          <t>Україна</t>
        </is>
      </c>
      <c r="B128" s="8">
        <f>Transition_checks!$B$15</f>
        <v/>
      </c>
      <c r="C128" s="8">
        <f>Transition_checks!$C$15</f>
        <v/>
      </c>
      <c r="D128" s="8">
        <f>Transition_checks!$D$15</f>
        <v/>
      </c>
      <c r="E128" t="inlineStr">
        <is>
          <t>–</t>
        </is>
      </c>
    </row>
    <row r="129">
      <c r="A129" t="inlineStr">
        <is>
          <t>Болгарія</t>
        </is>
      </c>
      <c r="B129" s="8">
        <f>Transition_checks!$B$14</f>
        <v/>
      </c>
      <c r="C129" s="8">
        <f>Transition_checks!$C$14</f>
        <v/>
      </c>
      <c r="D129" s="8">
        <f>Transition_checks!$D$14</f>
        <v/>
      </c>
      <c r="E129" s="7">
        <f>Transition_checks!$K$14</f>
        <v/>
      </c>
    </row>
    <row r="130">
      <c r="A130" s="11" t="inlineStr">
        <is>
          <t>Нові члени, медіана</t>
        </is>
      </c>
      <c r="B130" s="8">
        <f>Transition_checks!$B$17</f>
        <v/>
      </c>
      <c r="C130" s="8">
        <f>Transition_checks!$B$18</f>
        <v/>
      </c>
      <c r="D130" s="8">
        <f>Transition_checks!$B$19</f>
        <v/>
      </c>
      <c r="E130" s="7">
        <f>Transition_checks!$B$20</f>
        <v/>
      </c>
    </row>
    <row r="133">
      <c r="A133" s="3" t="inlineStr">
        <is>
          <t>Таблиця A1. Частка господарств, що використовують цифрові технології, %</t>
        </is>
      </c>
    </row>
    <row r="134">
      <c r="A134" s="6" t="inlineStr">
        <is>
          <t>Технологія</t>
        </is>
      </c>
      <c r="B134" s="6" t="inlineStr">
        <is>
          <t>Україна 2025*</t>
        </is>
      </c>
      <c r="C134" s="6" t="inlineStr">
        <is>
          <t>ЄС-27, усі</t>
        </is>
      </c>
      <c r="D134" s="6" t="inlineStr">
        <is>
          <t>ЄС-27, великі</t>
        </is>
      </c>
      <c r="E134" s="6" t="inlineStr">
        <is>
          <t>Німеччина</t>
        </is>
      </c>
      <c r="F134" s="6" t="inlineStr">
        <is>
          <t>Польща</t>
        </is>
      </c>
      <c r="G134" s="6" t="inlineStr">
        <is>
          <t>Угорщина</t>
        </is>
      </c>
      <c r="H134" s="6" t="inlineStr">
        <is>
          <t>Румунія</t>
        </is>
      </c>
      <c r="I134" s="6" t="inlineStr">
        <is>
          <t>Чехія</t>
        </is>
      </c>
      <c r="J134" s="6" t="inlineStr">
        <is>
          <t>Словаччина</t>
        </is>
      </c>
      <c r="K134" s="6" t="inlineStr">
        <is>
          <t>Литва</t>
        </is>
      </c>
      <c r="L134" s="6" t="inlineStr">
        <is>
          <t>Латвія</t>
        </is>
      </c>
      <c r="M134" s="6" t="inlineStr">
        <is>
          <t>Естонія</t>
        </is>
      </c>
      <c r="N134" s="6" t="inlineStr">
        <is>
          <t>Болгарія</t>
        </is>
      </c>
      <c r="O134" s="6" t="inlineStr">
        <is>
          <t>Україна / ЄС-27, усі</t>
        </is>
      </c>
      <c r="P134" s="6" t="inlineStr">
        <is>
          <t>Україна / ЄС-27, великі</t>
        </is>
      </c>
    </row>
    <row r="135">
      <c r="A135" t="inlineStr">
        <is>
          <t>Робототехніка</t>
        </is>
      </c>
      <c r="B135" s="7">
        <f>Farm_results!$B$4</f>
        <v/>
      </c>
      <c r="C135" s="7">
        <f>Farm_results!$C$4</f>
        <v/>
      </c>
      <c r="D135" s="7">
        <f>Farm_results!$D$4</f>
        <v/>
      </c>
      <c r="E135" s="7">
        <f>Farm_results!$E$4</f>
        <v/>
      </c>
      <c r="F135" s="7">
        <f>Farm_results!$F$4</f>
        <v/>
      </c>
      <c r="G135" s="7">
        <f>Farm_results!$G$4</f>
        <v/>
      </c>
      <c r="H135" s="7">
        <f>Farm_results!$H$4</f>
        <v/>
      </c>
      <c r="I135" s="7">
        <f>Farm_results!$I$4</f>
        <v/>
      </c>
      <c r="J135" s="7">
        <f>Farm_results!$J$4</f>
        <v/>
      </c>
      <c r="K135" s="7">
        <f>Farm_results!$K$4</f>
        <v/>
      </c>
      <c r="L135" s="7">
        <f>Farm_results!$L$4</f>
        <v/>
      </c>
      <c r="M135" s="7">
        <f>Farm_results!$M$4</f>
        <v/>
      </c>
      <c r="N135" s="7">
        <f>Farm_results!$N$4</f>
        <v/>
      </c>
      <c r="O135" s="8">
        <f>Farm_results!$O$4</f>
        <v/>
      </c>
      <c r="P135" s="8">
        <f>Farm_results!$P$4</f>
        <v/>
      </c>
    </row>
    <row r="136">
      <c r="A136" t="inlineStr">
        <is>
          <t>Роботи для внесення ЗЗР</t>
        </is>
      </c>
      <c r="B136" s="7">
        <f>Farm_results!$B$5</f>
        <v/>
      </c>
      <c r="C136" s="7">
        <f>Farm_results!$C$5</f>
        <v/>
      </c>
      <c r="D136" s="7">
        <f>Farm_results!$D$5</f>
        <v/>
      </c>
      <c r="E136" s="7">
        <f>Farm_results!$E$5</f>
        <v/>
      </c>
      <c r="F136" s="7">
        <f>Farm_results!$F$5</f>
        <v/>
      </c>
      <c r="G136" s="7">
        <f>Farm_results!$G$5</f>
        <v/>
      </c>
      <c r="H136" s="7">
        <f>Farm_results!$H$5</f>
        <v/>
      </c>
      <c r="I136" s="7">
        <f>Farm_results!$I$5</f>
        <v/>
      </c>
      <c r="J136" s="7">
        <f>Farm_results!$J$5</f>
        <v/>
      </c>
      <c r="K136" s="7">
        <f>Farm_results!$K$5</f>
        <v/>
      </c>
      <c r="L136" s="7">
        <f>Farm_results!$L$5</f>
        <v/>
      </c>
      <c r="M136" s="7">
        <f>Farm_results!$M$5</f>
        <v/>
      </c>
      <c r="N136" s="7">
        <f>Farm_results!$N$5</f>
        <v/>
      </c>
      <c r="O136" s="8">
        <f>Farm_results!$O$5</f>
        <v/>
      </c>
      <c r="P136" s="8">
        <f>Farm_results!$P$5</f>
        <v/>
      </c>
    </row>
    <row r="137">
      <c r="A137" t="inlineStr">
        <is>
          <t>Стрічкове внесення ЗЗР</t>
        </is>
      </c>
      <c r="B137" s="7">
        <f>Farm_results!$B$6</f>
        <v/>
      </c>
      <c r="C137" s="7">
        <f>Farm_results!$C$6</f>
        <v/>
      </c>
      <c r="D137" s="7">
        <f>Farm_results!$D$6</f>
        <v/>
      </c>
      <c r="E137" s="7">
        <f>Farm_results!$E$6</f>
        <v/>
      </c>
      <c r="F137" s="7">
        <f>Farm_results!$F$6</f>
        <v/>
      </c>
      <c r="G137" s="7">
        <f>Farm_results!$G$6</f>
        <v/>
      </c>
      <c r="H137" s="7">
        <f>Farm_results!$H$6</f>
        <v/>
      </c>
      <c r="I137" s="7">
        <f>Farm_results!$I$6</f>
        <v/>
      </c>
      <c r="J137" s="7">
        <f>Farm_results!$J$6</f>
        <v/>
      </c>
      <c r="K137" s="7">
        <f>Farm_results!$K$6</f>
        <v/>
      </c>
      <c r="L137" s="7">
        <f>Farm_results!$L$6</f>
        <v/>
      </c>
      <c r="M137" s="7">
        <f>Farm_results!$M$6</f>
        <v/>
      </c>
      <c r="N137" s="7">
        <f>Farm_results!$N$6</f>
        <v/>
      </c>
      <c r="O137" s="8">
        <f>Farm_results!$O$6</f>
        <v/>
      </c>
      <c r="P137" s="8">
        <f>Farm_results!$P$6</f>
        <v/>
      </c>
    </row>
    <row r="138">
      <c r="A138" t="inlineStr">
        <is>
          <t>Змінні норми внесення</t>
        </is>
      </c>
      <c r="B138" s="7">
        <f>Farm_results!$B$7</f>
        <v/>
      </c>
      <c r="C138" s="7">
        <f>Farm_results!$C$7</f>
        <v/>
      </c>
      <c r="D138" s="7">
        <f>Farm_results!$D$7</f>
        <v/>
      </c>
      <c r="E138" s="7">
        <f>Farm_results!$E$7</f>
        <v/>
      </c>
      <c r="F138" s="7">
        <f>Farm_results!$F$7</f>
        <v/>
      </c>
      <c r="G138" s="7">
        <f>Farm_results!$G$7</f>
        <v/>
      </c>
      <c r="H138" s="7">
        <f>Farm_results!$H$7</f>
        <v/>
      </c>
      <c r="I138" s="7">
        <f>Farm_results!$I$7</f>
        <v/>
      </c>
      <c r="J138" s="7">
        <f>Farm_results!$J$7</f>
        <v/>
      </c>
      <c r="K138" s="7">
        <f>Farm_results!$K$7</f>
        <v/>
      </c>
      <c r="L138" s="7">
        <f>Farm_results!$L$7</f>
        <v/>
      </c>
      <c r="M138" s="7">
        <f>Farm_results!$M$7</f>
        <v/>
      </c>
      <c r="N138" s="7">
        <f>Farm_results!$N$7</f>
        <v/>
      </c>
      <c r="O138" s="8">
        <f>Farm_results!$O$7</f>
        <v/>
      </c>
      <c r="P138" s="8">
        <f>Farm_results!$P$7</f>
        <v/>
      </c>
    </row>
    <row r="139">
      <c r="A139" t="inlineStr">
        <is>
          <t>Точний моніторинг посівів</t>
        </is>
      </c>
      <c r="B139" s="7">
        <f>Farm_results!$B$8</f>
        <v/>
      </c>
      <c r="C139" s="7">
        <f>Farm_results!$C$8</f>
        <v/>
      </c>
      <c r="D139" s="7">
        <f>Farm_results!$D$8</f>
        <v/>
      </c>
      <c r="E139" s="7">
        <f>Farm_results!$E$8</f>
        <v/>
      </c>
      <c r="F139" s="7">
        <f>Farm_results!$F$8</f>
        <v/>
      </c>
      <c r="G139" s="7">
        <f>Farm_results!$G$8</f>
        <v/>
      </c>
      <c r="H139" s="7">
        <f>Farm_results!$H$8</f>
        <v/>
      </c>
      <c r="I139" s="7">
        <f>Farm_results!$I$8</f>
        <v/>
      </c>
      <c r="J139" s="7">
        <f>Farm_results!$J$8</f>
        <v/>
      </c>
      <c r="K139" s="7">
        <f>Farm_results!$K$8</f>
        <v/>
      </c>
      <c r="L139" s="7">
        <f>Farm_results!$L$8</f>
        <v/>
      </c>
      <c r="M139" s="7">
        <f>Farm_results!$M$8</f>
        <v/>
      </c>
      <c r="N139" s="7">
        <f>Farm_results!$N$8</f>
        <v/>
      </c>
      <c r="O139" s="8">
        <f>Farm_results!$O$8</f>
        <v/>
      </c>
      <c r="P139" s="8">
        <f>Farm_results!$P$8</f>
        <v/>
      </c>
    </row>
    <row r="140">
      <c r="A140" t="inlineStr">
        <is>
          <t>Аналіз ґрунту</t>
        </is>
      </c>
      <c r="B140" s="7">
        <f>Farm_results!$B$9</f>
        <v/>
      </c>
      <c r="C140" s="7">
        <f>Farm_results!$C$9</f>
        <v/>
      </c>
      <c r="D140" s="7">
        <f>Farm_results!$D$9</f>
        <v/>
      </c>
      <c r="E140" s="7">
        <f>Farm_results!$E$9</f>
        <v/>
      </c>
      <c r="F140" s="7">
        <f>Farm_results!$F$9</f>
        <v/>
      </c>
      <c r="G140" s="7">
        <f>Farm_results!$G$9</f>
        <v/>
      </c>
      <c r="H140" s="7">
        <f>Farm_results!$H$9</f>
        <v/>
      </c>
      <c r="I140" s="7">
        <f>Farm_results!$I$9</f>
        <v/>
      </c>
      <c r="J140" s="7">
        <f>Farm_results!$J$9</f>
        <v/>
      </c>
      <c r="K140" s="7">
        <f>Farm_results!$K$9</f>
        <v/>
      </c>
      <c r="L140" s="7">
        <f>Farm_results!$L$9</f>
        <v/>
      </c>
      <c r="M140" s="7">
        <f>Farm_results!$M$9</f>
        <v/>
      </c>
      <c r="N140" s="7">
        <f>Farm_results!$N$9</f>
        <v/>
      </c>
      <c r="O140" s="8">
        <f>Farm_results!$O$9</f>
        <v/>
      </c>
      <c r="P140" s="8">
        <f>Farm_results!$P$9</f>
        <v/>
      </c>
    </row>
    <row r="141">
      <c r="A141" t="inlineStr">
        <is>
          <t>Автоматичне годування</t>
        </is>
      </c>
      <c r="B141" s="7">
        <f>Farm_results!$B$10</f>
        <v/>
      </c>
      <c r="C141" s="7">
        <f>Farm_results!$C$10</f>
        <v/>
      </c>
      <c r="D141" s="7">
        <f>Farm_results!$D$10</f>
        <v/>
      </c>
      <c r="E141" s="7">
        <f>Farm_results!$E$10</f>
        <v/>
      </c>
      <c r="F141" s="7">
        <f>Farm_results!$F$10</f>
        <v/>
      </c>
      <c r="G141" s="7">
        <f>Farm_results!$G$10</f>
        <v/>
      </c>
      <c r="H141" s="7">
        <f>Farm_results!$H$10</f>
        <v/>
      </c>
      <c r="I141" s="7">
        <f>Farm_results!$I$10</f>
        <v/>
      </c>
      <c r="J141" s="7">
        <f>Farm_results!$J$10</f>
        <v/>
      </c>
      <c r="K141" s="7">
        <f>Farm_results!$K$10</f>
        <v/>
      </c>
      <c r="L141" s="7">
        <f>Farm_results!$L$10</f>
        <v/>
      </c>
      <c r="M141" s="7">
        <f>Farm_results!$M$10</f>
        <v/>
      </c>
      <c r="N141" s="7">
        <f>Farm_results!$N$10</f>
        <v/>
      </c>
      <c r="O141" s="8">
        <f>Farm_results!$O$10</f>
        <v/>
      </c>
      <c r="P141" s="8">
        <f>Farm_results!$P$10</f>
        <v/>
      </c>
    </row>
    <row r="142">
      <c r="A142" t="inlineStr">
        <is>
          <t>Доїльні роботи</t>
        </is>
      </c>
      <c r="B142" s="7">
        <f>Farm_results!$B$11</f>
        <v/>
      </c>
      <c r="C142" s="7">
        <f>Farm_results!$C$11</f>
        <v/>
      </c>
      <c r="D142" s="7">
        <f>Farm_results!$D$11</f>
        <v/>
      </c>
      <c r="E142" s="7">
        <f>Farm_results!$E$11</f>
        <v/>
      </c>
      <c r="F142" s="7">
        <f>Farm_results!$F$11</f>
        <v/>
      </c>
      <c r="G142" s="7">
        <f>Farm_results!$G$11</f>
        <v/>
      </c>
      <c r="H142" s="7">
        <f>Farm_results!$H$11</f>
        <v/>
      </c>
      <c r="I142" s="7">
        <f>Farm_results!$I$11</f>
        <v/>
      </c>
      <c r="J142" s="7">
        <f>Farm_results!$J$11</f>
        <v/>
      </c>
      <c r="K142" s="7">
        <f>Farm_results!$K$11</f>
        <v/>
      </c>
      <c r="L142" s="7">
        <f>Farm_results!$L$11</f>
        <v/>
      </c>
      <c r="M142" s="7">
        <f>Farm_results!$M$11</f>
        <v/>
      </c>
      <c r="N142" s="7">
        <f>Farm_results!$N$11</f>
        <v/>
      </c>
      <c r="O142" s="8">
        <f>Farm_results!$O$11</f>
        <v/>
      </c>
      <c r="P142" s="8">
        <f>Farm_results!$P$11</f>
        <v/>
      </c>
    </row>
    <row r="143">
      <c r="A143" t="inlineStr">
        <is>
          <t>Моніторинг здоров'я тварин</t>
        </is>
      </c>
      <c r="B143" s="7">
        <f>Farm_results!$B$12</f>
        <v/>
      </c>
      <c r="C143" s="7">
        <f>Farm_results!$C$12</f>
        <v/>
      </c>
      <c r="D143" s="7">
        <f>Farm_results!$D$12</f>
        <v/>
      </c>
      <c r="E143" s="7">
        <f>Farm_results!$E$12</f>
        <v/>
      </c>
      <c r="F143" s="7">
        <f>Farm_results!$F$12</f>
        <v/>
      </c>
      <c r="G143" s="7">
        <f>Farm_results!$G$12</f>
        <v/>
      </c>
      <c r="H143" s="7">
        <f>Farm_results!$H$12</f>
        <v/>
      </c>
      <c r="I143" s="7">
        <f>Farm_results!$I$12</f>
        <v/>
      </c>
      <c r="J143" s="7">
        <f>Farm_results!$J$12</f>
        <v/>
      </c>
      <c r="K143" s="7">
        <f>Farm_results!$K$12</f>
        <v/>
      </c>
      <c r="L143" s="7">
        <f>Farm_results!$L$12</f>
        <v/>
      </c>
      <c r="M143" s="7">
        <f>Farm_results!$M$12</f>
        <v/>
      </c>
      <c r="N143" s="7">
        <f>Farm_results!$N$12</f>
        <v/>
      </c>
      <c r="O143" s="8">
        <f>Farm_results!$O$12</f>
        <v/>
      </c>
      <c r="P143" s="8">
        <f>Farm_results!$P$12</f>
        <v/>
      </c>
    </row>
    <row r="144">
      <c r="A144" t="inlineStr">
        <is>
          <t>Регулювання мікроклімату</t>
        </is>
      </c>
      <c r="B144" s="7">
        <f>Farm_results!$B$13</f>
        <v/>
      </c>
      <c r="C144" s="7">
        <f>Farm_results!$C$13</f>
        <v/>
      </c>
      <c r="D144" s="7">
        <f>Farm_results!$D$13</f>
        <v/>
      </c>
      <c r="E144" s="7">
        <f>Farm_results!$E$13</f>
        <v/>
      </c>
      <c r="F144" s="7">
        <f>Farm_results!$F$13</f>
        <v/>
      </c>
      <c r="G144" s="7">
        <f>Farm_results!$G$13</f>
        <v/>
      </c>
      <c r="H144" s="7">
        <f>Farm_results!$H$13</f>
        <v/>
      </c>
      <c r="I144" s="7">
        <f>Farm_results!$I$13</f>
        <v/>
      </c>
      <c r="J144" s="7">
        <f>Farm_results!$J$13</f>
        <v/>
      </c>
      <c r="K144" s="7">
        <f>Farm_results!$K$13</f>
        <v/>
      </c>
      <c r="L144" s="7">
        <f>Farm_results!$L$13</f>
        <v/>
      </c>
      <c r="M144" s="7">
        <f>Farm_results!$M$13</f>
        <v/>
      </c>
      <c r="N144" s="7">
        <f>Farm_results!$N$13</f>
        <v/>
      </c>
      <c r="O144" s="8">
        <f>Farm_results!$O$13</f>
        <v/>
      </c>
      <c r="P144" s="8">
        <f>Farm_results!$P$13</f>
        <v/>
      </c>
    </row>
    <row r="145">
      <c r="A145" t="inlineStr">
        <is>
          <t>Медіана відношення</t>
        </is>
      </c>
      <c r="O145" s="8">
        <f>Farm_results!O15</f>
        <v/>
      </c>
      <c r="P145" s="8">
        <f>Farm_results!P15</f>
        <v/>
      </c>
    </row>
    <row r="146">
      <c r="A146" s="11" t="inlineStr">
        <is>
          <t>* Оцінка автора, частка підприємств (включно з фермерськими господарствами) від кількості підприємств із сільськогосподарськими угіддями. Для відношення до великих господарств ЄС технології тваринництва поділено на кількість підприємств, що утримують тварин (Farm_UA_data, стовпець H).</t>
        </is>
      </c>
    </row>
    <row r="149">
      <c r="A149" s="3" t="inlineStr">
        <is>
          <t>Таблиця A2. Орієнтири шарових показників для України</t>
        </is>
      </c>
    </row>
    <row r="150">
      <c r="A150" s="6" t="inlineStr">
        <is>
          <t>Шар</t>
        </is>
      </c>
      <c r="B150" s="6" t="inlineStr">
        <is>
          <t>Україна</t>
        </is>
      </c>
      <c r="C150" s="6" t="inlineStr">
        <is>
          <t>Країни 3-го рівня</t>
        </is>
      </c>
      <c r="D150" s="6" t="inlineStr">
        <is>
          <t>Країни 4-го рівня</t>
        </is>
      </c>
      <c r="E150" s="6" t="inlineStr">
        <is>
          <t>ЄС-27</t>
        </is>
      </c>
      <c r="F150" s="6" t="inlineStr">
        <is>
          <t>Розрив до 3-го рівня</t>
        </is>
      </c>
    </row>
    <row r="151">
      <c r="A151" t="inlineStr">
        <is>
          <t>C</t>
        </is>
      </c>
      <c r="B151" s="8">
        <f>Processing_index!$S$15</f>
        <v/>
      </c>
      <c r="C151" s="8">
        <f>Orientations!$C$4</f>
        <v/>
      </c>
      <c r="D151" s="8">
        <f>Orientations!$D$4</f>
        <v/>
      </c>
      <c r="E151" s="8">
        <f>Processing_index!$S$4</f>
        <v/>
      </c>
      <c r="F151" s="8">
        <f>Orientations!$F$4</f>
        <v/>
      </c>
    </row>
    <row r="152">
      <c r="A152" t="inlineStr">
        <is>
          <t>L1</t>
        </is>
      </c>
      <c r="B152" s="8">
        <f>Processing_index!$T$15</f>
        <v/>
      </c>
      <c r="C152" s="8">
        <f>Orientations!$C$5</f>
        <v/>
      </c>
      <c r="D152" s="8">
        <f>Orientations!$D$5</f>
        <v/>
      </c>
      <c r="E152" s="8">
        <f>Processing_index!$T$4</f>
        <v/>
      </c>
      <c r="F152" s="8">
        <f>Orientations!$F$5</f>
        <v/>
      </c>
    </row>
    <row r="153">
      <c r="A153" t="inlineStr">
        <is>
          <t>L2</t>
        </is>
      </c>
      <c r="B153" s="8">
        <f>Processing_index!$U$15</f>
        <v/>
      </c>
      <c r="C153" s="8">
        <f>Orientations!$C$6</f>
        <v/>
      </c>
      <c r="D153" s="8">
        <f>Orientations!$D$6</f>
        <v/>
      </c>
      <c r="E153" s="8">
        <f>Processing_index!$U$4</f>
        <v/>
      </c>
      <c r="F153" s="8">
        <f>Orientations!$F$6</f>
        <v/>
      </c>
    </row>
    <row r="154">
      <c r="A154" t="inlineStr">
        <is>
          <t>L3</t>
        </is>
      </c>
      <c r="B154" s="8">
        <f>Processing_index!$V$15</f>
        <v/>
      </c>
      <c r="C154" s="8">
        <f>Orientations!$C$7</f>
        <v/>
      </c>
      <c r="D154" s="8">
        <f>Orientations!$D$7</f>
        <v/>
      </c>
      <c r="E154" s="8">
        <f>Processing_index!$V$4</f>
        <v/>
      </c>
      <c r="F154" s="8">
        <f>Orientations!$F$7</f>
        <v/>
      </c>
    </row>
    <row r="155">
      <c r="A155" t="inlineStr">
        <is>
          <t>L4</t>
        </is>
      </c>
      <c r="B155" s="8">
        <f>Processing_index!$W$15</f>
        <v/>
      </c>
      <c r="C155" s="8">
        <f>Orientations!$C$8</f>
        <v/>
      </c>
      <c r="D155" s="8">
        <f>Orientations!$D$8</f>
        <v/>
      </c>
      <c r="E155" s="8">
        <f>Processing_index!$W$4</f>
        <v/>
      </c>
      <c r="F155" s="8">
        <f>Orientations!$F$8</f>
        <v/>
      </c>
    </row>
    <row r="156">
      <c r="A156" t="inlineStr">
        <is>
          <t>DM_I</t>
        </is>
      </c>
      <c r="B156" s="8">
        <f>Processing_index!$X$15</f>
        <v/>
      </c>
      <c r="C156" s="8">
        <f>Orientations!$C$9</f>
        <v/>
      </c>
      <c r="D156" s="8">
        <f>Orientations!$D$9</f>
        <v/>
      </c>
      <c r="E156" s="8">
        <f>Processing_index!$X$4</f>
        <v/>
      </c>
      <c r="F156" s="8">
        <f>Orientations!$F$9</f>
        <v/>
      </c>
    </row>
    <row r="157">
      <c r="A157" t="inlineStr">
        <is>
          <t>DM_S</t>
        </is>
      </c>
      <c r="B157" s="8">
        <f>Processing_index!$Y$15</f>
        <v/>
      </c>
      <c r="C157" s="8">
        <f>Orientations!$C$10</f>
        <v/>
      </c>
      <c r="D157" s="8">
        <f>Orientations!$D$10</f>
        <v/>
      </c>
      <c r="E157" s="8">
        <f>Processing_index!$Y$4</f>
        <v/>
      </c>
      <c r="F157" s="8">
        <f>Orientations!$F$10</f>
        <v/>
      </c>
    </row>
  </sheetData>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E1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s>
  <sheetData>
    <row r="1">
      <c r="A1" s="1" t="inlineStr">
        <is>
          <t>Figure 1. Ukrainian farm share relative to the EU-27 share, by technology (log scale; 1 = parity)</t>
        </is>
      </c>
    </row>
    <row r="3">
      <c r="A3" s="3" t="inlineStr">
        <is>
          <t>Labels language (EN / UA)</t>
        </is>
      </c>
      <c r="B3" s="4" t="inlineStr">
        <is>
          <t>EN</t>
        </is>
      </c>
    </row>
    <row r="4">
      <c r="A4" s="11" t="inlineStr">
        <is>
          <t>Technologies are ordered by the ratio to large EU holdings (order fixed at build time); values are formulas on Farm_results.</t>
        </is>
      </c>
    </row>
    <row r="5">
      <c r="A5" t="inlineStr">
        <is>
          <t>Axis title</t>
        </is>
      </c>
      <c r="B5">
        <f>IF($B$3="UA","Частка України / частка ЄС-27 (логарифмічна шкала)","Ukrainian share / EU-27 share (log scale)")</f>
        <v/>
      </c>
    </row>
    <row r="6">
      <c r="A6" s="3" t="inlineStr">
        <is>
          <t>Technology</t>
        </is>
      </c>
      <c r="B6" s="3">
        <f>IF($B$3="UA","Відношення до всіх господарств ЄС","Ratio to all EU holdings")</f>
        <v/>
      </c>
      <c r="C6" s="3">
        <f>IF($B$3="UA","Відношення до великих господарств ЄС","Ratio to large EU holdings")</f>
        <v/>
      </c>
      <c r="D6" s="3">
        <f>IF($B$3="UA","Рівень ЄС","Parity with the EU")</f>
        <v/>
      </c>
      <c r="E6" t="inlineStr">
        <is>
          <t>Code</t>
        </is>
      </c>
    </row>
    <row r="7">
      <c r="A7">
        <f>IF($B$3="UA","Автоматичне годування","Automatic feeding")</f>
        <v/>
      </c>
      <c r="B7" s="9">
        <f>Farm_results!$O$10</f>
        <v/>
      </c>
      <c r="C7" s="9">
        <f>Farm_results!$P$10</f>
        <v/>
      </c>
      <c r="D7" t="n">
        <v>1</v>
      </c>
      <c r="E7" t="inlineStr">
        <is>
          <t>AUTO_FEED_SYS</t>
        </is>
      </c>
    </row>
    <row r="8">
      <c r="A8">
        <f>IF($B$3="UA","Регулювання мікроклімату","Climate regulation")</f>
        <v/>
      </c>
      <c r="B8" s="9">
        <f>Farm_results!$O$13</f>
        <v/>
      </c>
      <c r="C8" s="9">
        <f>Farm_results!$P$13</f>
        <v/>
      </c>
      <c r="D8" t="n">
        <v>1</v>
      </c>
      <c r="E8" t="inlineStr">
        <is>
          <t>AUTO_REG_CLIMATE</t>
        </is>
      </c>
    </row>
    <row r="9">
      <c r="A9">
        <f>IF($B$3="UA","Доїльні роботи","Milking robots")</f>
        <v/>
      </c>
      <c r="B9" s="9">
        <f>Farm_results!$O$11</f>
        <v/>
      </c>
      <c r="C9" s="9">
        <f>Farm_results!$P$11</f>
        <v/>
      </c>
      <c r="D9" t="n">
        <v>1</v>
      </c>
      <c r="E9" t="inlineStr">
        <is>
          <t>MILK_ROBOTS</t>
        </is>
      </c>
    </row>
    <row r="10">
      <c r="A10">
        <f>IF($B$3="UA","Моніторинг здоров'я тварин","Animal health monitoring")</f>
        <v/>
      </c>
      <c r="B10" s="9">
        <f>Farm_results!$O$12</f>
        <v/>
      </c>
      <c r="C10" s="9">
        <f>Farm_results!$P$12</f>
        <v/>
      </c>
      <c r="D10" t="n">
        <v>1</v>
      </c>
      <c r="E10" t="inlineStr">
        <is>
          <t>MON_ANIMALS</t>
        </is>
      </c>
    </row>
    <row r="11">
      <c r="A11">
        <f>IF($B$3="UA","Роботи для ЗЗР","Plant protection robots")</f>
        <v/>
      </c>
      <c r="B11" s="9">
        <f>Farm_results!$O$5</f>
        <v/>
      </c>
      <c r="C11" s="9">
        <f>Farm_results!$P$5</f>
        <v/>
      </c>
      <c r="D11" t="n">
        <v>1</v>
      </c>
      <c r="E11" t="inlineStr">
        <is>
          <t>MAC_ROB_PPP</t>
        </is>
      </c>
    </row>
    <row r="12">
      <c r="A12">
        <f>IF($B$3="UA","Стрічкове внесення ЗЗР","Band spraying")</f>
        <v/>
      </c>
      <c r="B12" s="9">
        <f>Farm_results!$O$6</f>
        <v/>
      </c>
      <c r="C12" s="9">
        <f>Farm_results!$P$6</f>
        <v/>
      </c>
      <c r="D12" t="n">
        <v>1</v>
      </c>
      <c r="E12" t="inlineStr">
        <is>
          <t>BAND_SPRAY_PPP</t>
        </is>
      </c>
    </row>
    <row r="13">
      <c r="A13">
        <f>IF($B$3="UA","Моніторинг посівів","Precision crop monitoring")</f>
        <v/>
      </c>
      <c r="B13" s="9">
        <f>Farm_results!$O$8</f>
        <v/>
      </c>
      <c r="C13" s="9">
        <f>Farm_results!$P$8</f>
        <v/>
      </c>
      <c r="D13" t="n">
        <v>1</v>
      </c>
      <c r="E13" t="inlineStr">
        <is>
          <t>PREC_MON_CROPS</t>
        </is>
      </c>
    </row>
    <row r="14">
      <c r="A14">
        <f>IF($B$3="UA","Робототехніка","Robotics")</f>
        <v/>
      </c>
      <c r="B14" s="9">
        <f>Farm_results!$O$4</f>
        <v/>
      </c>
      <c r="C14" s="9">
        <f>Farm_results!$P$4</f>
        <v/>
      </c>
      <c r="D14" t="n">
        <v>1</v>
      </c>
      <c r="E14" t="inlineStr">
        <is>
          <t>ROBOTICS</t>
        </is>
      </c>
    </row>
    <row r="15">
      <c r="A15">
        <f>IF($B$3="UA","Змінні норми внесення","Variable rate technology")</f>
        <v/>
      </c>
      <c r="B15" s="9">
        <f>Farm_results!$O$7</f>
        <v/>
      </c>
      <c r="C15" s="9">
        <f>Farm_results!$P$7</f>
        <v/>
      </c>
      <c r="D15" t="n">
        <v>1</v>
      </c>
      <c r="E15" t="inlineStr">
        <is>
          <t>VAR_RATE_TECH</t>
        </is>
      </c>
    </row>
    <row r="16">
      <c r="A16">
        <f>IF($B$3="UA","Аналіз ґрунту","Soil analysis")</f>
        <v/>
      </c>
      <c r="B16" s="9">
        <f>Farm_results!$O$9</f>
        <v/>
      </c>
      <c r="C16" s="9">
        <f>Farm_results!$P$9</f>
        <v/>
      </c>
      <c r="D16" t="n">
        <v>1</v>
      </c>
      <c r="E16" t="inlineStr">
        <is>
          <t>SOIL_ANALYSIS</t>
        </is>
      </c>
    </row>
  </sheetData>
  <pageMargins left="0.75" right="0.75" top="1" bottom="1" header="0.5" footer="0.5"/>
  <pageSetup orientation="landscape"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E13"/>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s>
  <sheetData>
    <row r="1">
      <c r="A1" s="1" t="inlineStr">
        <is>
          <t>Figure 2. Layer profile of Ukrainian food processing against the orientations (Table A2)</t>
        </is>
      </c>
    </row>
    <row r="3">
      <c r="A3" s="3" t="inlineStr">
        <is>
          <t>Labels language (EN / UA)</t>
        </is>
      </c>
      <c r="B3" s="4" t="inlineStr">
        <is>
          <t>EN</t>
        </is>
      </c>
    </row>
    <row r="4">
      <c r="A4" s="11" t="inlineStr">
        <is>
          <t>Values are formulas on Processing_index and Orientations. C, L1-L4 enter the index; DM_I and DM_S are computed outside it.</t>
        </is>
      </c>
    </row>
    <row r="5">
      <c r="A5" t="inlineStr">
        <is>
          <t>Axis title</t>
        </is>
      </c>
      <c r="B5">
        <f>IF($B$3="UA","Шаровий показник (частка від лідера ЄС)","Layer score (share of the EU leader)")</f>
        <v/>
      </c>
    </row>
    <row r="6">
      <c r="A6" s="3" t="inlineStr">
        <is>
          <t>Component</t>
        </is>
      </c>
      <c r="B6">
        <f>IF($B$3="UA","Україна","Ukraine")</f>
        <v/>
      </c>
      <c r="C6">
        <f>IF($B$3="UA","Країни 3-го рівня, середнє","Level 3 countries, mean")</f>
        <v/>
      </c>
      <c r="D6">
        <f>IF($B$3="UA","Країни 4-го рівня, середнє","Level 4 countries, mean")</f>
        <v/>
      </c>
      <c r="E6">
        <f>IF($B$3="UA","ЄС-27","EU-27")</f>
        <v/>
      </c>
    </row>
    <row r="7">
      <c r="A7" t="inlineStr">
        <is>
          <t>C</t>
        </is>
      </c>
      <c r="B7" s="8">
        <f>Processing_index!$S$15</f>
        <v/>
      </c>
      <c r="C7" s="8">
        <f>Orientations!$C$4</f>
        <v/>
      </c>
      <c r="D7" s="8">
        <f>Orientations!$D$4</f>
        <v/>
      </c>
      <c r="E7" s="8">
        <f>Processing_index!$S$4</f>
        <v/>
      </c>
    </row>
    <row r="8">
      <c r="A8" t="inlineStr">
        <is>
          <t>L1</t>
        </is>
      </c>
      <c r="B8" s="8">
        <f>Processing_index!$T$15</f>
        <v/>
      </c>
      <c r="C8" s="8">
        <f>Orientations!$C$5</f>
        <v/>
      </c>
      <c r="D8" s="8">
        <f>Orientations!$D$5</f>
        <v/>
      </c>
      <c r="E8" s="8">
        <f>Processing_index!$T$4</f>
        <v/>
      </c>
    </row>
    <row r="9">
      <c r="A9" t="inlineStr">
        <is>
          <t>L2</t>
        </is>
      </c>
      <c r="B9" s="8">
        <f>Processing_index!$U$15</f>
        <v/>
      </c>
      <c r="C9" s="8">
        <f>Orientations!$C$6</f>
        <v/>
      </c>
      <c r="D9" s="8">
        <f>Orientations!$D$6</f>
        <v/>
      </c>
      <c r="E9" s="8">
        <f>Processing_index!$U$4</f>
        <v/>
      </c>
    </row>
    <row r="10">
      <c r="A10" t="inlineStr">
        <is>
          <t>L3</t>
        </is>
      </c>
      <c r="B10" s="8">
        <f>Processing_index!$V$15</f>
        <v/>
      </c>
      <c r="C10" s="8">
        <f>Orientations!$C$7</f>
        <v/>
      </c>
      <c r="D10" s="8">
        <f>Orientations!$D$7</f>
        <v/>
      </c>
      <c r="E10" s="8">
        <f>Processing_index!$V$4</f>
        <v/>
      </c>
    </row>
    <row r="11">
      <c r="A11" t="inlineStr">
        <is>
          <t>L4</t>
        </is>
      </c>
      <c r="B11" s="8">
        <f>Processing_index!$W$15</f>
        <v/>
      </c>
      <c r="C11" s="8">
        <f>Orientations!$C$8</f>
        <v/>
      </c>
      <c r="D11" s="8">
        <f>Orientations!$D$8</f>
        <v/>
      </c>
      <c r="E11" s="8">
        <f>Processing_index!$W$4</f>
        <v/>
      </c>
    </row>
    <row r="12">
      <c r="A12" t="inlineStr">
        <is>
          <t>DM_I</t>
        </is>
      </c>
      <c r="B12" s="8">
        <f>Processing_index!$X$15</f>
        <v/>
      </c>
      <c r="C12" s="8">
        <f>Orientations!$C$9</f>
        <v/>
      </c>
      <c r="D12" s="8">
        <f>Orientations!$D$9</f>
        <v/>
      </c>
      <c r="E12" s="8">
        <f>Processing_index!$X$4</f>
        <v/>
      </c>
    </row>
    <row r="13">
      <c r="A13" t="inlineStr">
        <is>
          <t>DM_S</t>
        </is>
      </c>
      <c r="B13" s="8">
        <f>Processing_index!$Y$15</f>
        <v/>
      </c>
      <c r="C13" s="8">
        <f>Orientations!$C$10</f>
        <v/>
      </c>
      <c r="D13" s="8">
        <f>Orientations!$D$10</f>
        <v/>
      </c>
      <c r="E13" s="8">
        <f>Processing_index!$Y$4</f>
        <v/>
      </c>
    </row>
  </sheetData>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2026-10-28T08:31:19Z</dcterms:created>
  <dcterms:modified xmlns:dcterms="http://purl.org/dc/terms/" xmlns:xsi="http://www.w3.org/2001/XMLSchema-instance" xsi:type="dcterms:W3CDTF">2026-10-28T08:31:19Z</dcterms:modified>
</cp:coreProperties>
</file>